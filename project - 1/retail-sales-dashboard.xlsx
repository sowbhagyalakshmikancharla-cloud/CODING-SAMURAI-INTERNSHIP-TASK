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72" windowWidth="22980" windowHeight="10080" activeTab="3"/>
  </bookViews>
  <sheets>
    <sheet name="Sheet2" sheetId="3" r:id="rId1"/>
    <sheet name="Sheet3" sheetId="4" r:id="rId2"/>
    <sheet name="retail_sales_dataset" sheetId="1" r:id="rId3"/>
    <sheet name="Sheet4" sheetId="6" r:id="rId4"/>
  </sheets>
  <calcPr calcId="144525"/>
  <pivotCaches>
    <pivotCache cacheId="1" r:id="rId5"/>
  </pivotCaches>
</workbook>
</file>

<file path=xl/calcChain.xml><?xml version="1.0" encoding="utf-8"?>
<calcChain xmlns="http://schemas.openxmlformats.org/spreadsheetml/2006/main">
  <c r="G2" i="1" l="1"/>
  <c r="I2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</calcChain>
</file>

<file path=xl/sharedStrings.xml><?xml version="1.0" encoding="utf-8"?>
<sst xmlns="http://schemas.openxmlformats.org/spreadsheetml/2006/main" count="176" uniqueCount="30">
  <si>
    <t>Date</t>
  </si>
  <si>
    <t>Product</t>
  </si>
  <si>
    <t>Quantity</t>
  </si>
  <si>
    <t>Price</t>
  </si>
  <si>
    <t>Hooded Sweatshirt</t>
  </si>
  <si>
    <t>Crew Socks</t>
  </si>
  <si>
    <t>Wool Beanie</t>
  </si>
  <si>
    <t>Classic T-Shirt</t>
  </si>
  <si>
    <t>Polo Shirt</t>
  </si>
  <si>
    <t>Leather Belt</t>
  </si>
  <si>
    <t>Slim Fit Jeans</t>
  </si>
  <si>
    <t>Canvas Sneakers</t>
  </si>
  <si>
    <t>Denim Jacket</t>
  </si>
  <si>
    <t>Running Shoes</t>
  </si>
  <si>
    <t>Cargo Shorts</t>
  </si>
  <si>
    <t>Graphic Hoodie</t>
  </si>
  <si>
    <t>Revenue</t>
  </si>
  <si>
    <t>Total Revenue</t>
  </si>
  <si>
    <t>Total Sales</t>
  </si>
  <si>
    <t>Average Order Value</t>
  </si>
  <si>
    <t>Row Labels</t>
  </si>
  <si>
    <t>Grand Total</t>
  </si>
  <si>
    <t>Sum of Revenue</t>
  </si>
  <si>
    <t>2024</t>
  </si>
  <si>
    <t>Jan</t>
  </si>
  <si>
    <t>Feb</t>
  </si>
  <si>
    <t>Mar</t>
  </si>
  <si>
    <t>Retail Sales Dashboard</t>
  </si>
  <si>
    <t>Total sales</t>
  </si>
  <si>
    <t xml:space="preserve"> Sales Metrics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</si>
</sst>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19" fillId="36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19" fillId="38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[retail-sales-dashboard.xlsx]Sheet2!PivotTable2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Graphic Hoodie</c:v>
                </c:pt>
                <c:pt idx="1">
                  <c:v>Denim Jacket</c:v>
                </c:pt>
                <c:pt idx="2">
                  <c:v>Running Shoes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3194.29</c:v>
                </c:pt>
                <c:pt idx="1">
                  <c:v>5179.2599999999984</c:v>
                </c:pt>
                <c:pt idx="2">
                  <c:v>5579.3799999999992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817216"/>
        <c:axId val="256467328"/>
      </c:barChart>
      <c:catAx>
        <c:axId val="171817216"/>
        <c:scaling>
          <c:orientation val="minMax"/>
        </c:scaling>
        <c:delete val="0"/>
        <c:axPos val="l"/>
        <c:majorTickMark val="out"/>
        <c:minorTickMark val="none"/>
        <c:tickLblPos val="nextTo"/>
        <c:crossAx val="256467328"/>
        <c:crosses val="autoZero"/>
        <c:auto val="1"/>
        <c:lblAlgn val="ctr"/>
        <c:lblOffset val="100"/>
        <c:noMultiLvlLbl val="0"/>
      </c:catAx>
      <c:valAx>
        <c:axId val="2564673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1817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[retail-sales-dashboard.xlsx]Sheet3!PivotTable3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Sheet3!$A$4:$A$8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Sheet3!$B$4:$B$8</c:f>
              <c:numCache>
                <c:formatCode>General</c:formatCode>
                <c:ptCount val="3"/>
                <c:pt idx="0">
                  <c:v>8882.57</c:v>
                </c:pt>
                <c:pt idx="1">
                  <c:v>8457.8099999999959</c:v>
                </c:pt>
                <c:pt idx="2">
                  <c:v>10512.479999999998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068032"/>
        <c:axId val="259974272"/>
      </c:lineChart>
      <c:catAx>
        <c:axId val="257068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59974272"/>
        <c:crosses val="autoZero"/>
        <c:auto val="1"/>
        <c:lblAlgn val="ctr"/>
        <c:lblOffset val="100"/>
        <c:noMultiLvlLbl val="0"/>
      </c:catAx>
      <c:valAx>
        <c:axId val="25997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068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[retail-sales-dashboard.xlsx]Sheet2!PivotTable2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Products</a:t>
            </a:r>
            <a:r>
              <a:rPr lang="en-US" baseline="0"/>
              <a:t> 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spPr>
          <a:solidFill>
            <a:schemeClr val="tx2">
              <a:lumMod val="75000"/>
            </a:schemeClr>
          </a:solidFill>
        </c:spPr>
      </c:pivotFmt>
      <c:pivotFmt>
        <c:idx val="4"/>
        <c:spPr>
          <a:solidFill>
            <a:schemeClr val="accent3">
              <a:lumMod val="75000"/>
            </a:schemeClr>
          </a:solidFill>
        </c:spPr>
      </c:pivotFmt>
      <c:pivotFmt>
        <c:idx val="5"/>
        <c:spPr>
          <a:solidFill>
            <a:schemeClr val="accent6">
              <a:lumMod val="50000"/>
            </a:schemeClr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Sheet2!$A$4:$A$7</c:f>
              <c:strCache>
                <c:ptCount val="3"/>
                <c:pt idx="0">
                  <c:v>Graphic Hoodie</c:v>
                </c:pt>
                <c:pt idx="1">
                  <c:v>Denim Jacket</c:v>
                </c:pt>
                <c:pt idx="2">
                  <c:v>Running Shoes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3194.29</c:v>
                </c:pt>
                <c:pt idx="1">
                  <c:v>5179.2599999999984</c:v>
                </c:pt>
                <c:pt idx="2">
                  <c:v>5579.3799999999992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210624"/>
        <c:axId val="255212160"/>
      </c:barChart>
      <c:catAx>
        <c:axId val="255210624"/>
        <c:scaling>
          <c:orientation val="minMax"/>
        </c:scaling>
        <c:delete val="0"/>
        <c:axPos val="l"/>
        <c:majorTickMark val="out"/>
        <c:minorTickMark val="none"/>
        <c:tickLblPos val="nextTo"/>
        <c:crossAx val="255212160"/>
        <c:crosses val="autoZero"/>
        <c:auto val="1"/>
        <c:lblAlgn val="ctr"/>
        <c:lblOffset val="100"/>
        <c:noMultiLvlLbl val="0"/>
      </c:catAx>
      <c:valAx>
        <c:axId val="25521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2106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[retail-sales-dashboard.xlsx]Sheet3!PivotTable3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Sheet3!$A$4:$A$8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Sheet3!$B$4:$B$8</c:f>
              <c:numCache>
                <c:formatCode>General</c:formatCode>
                <c:ptCount val="3"/>
                <c:pt idx="0">
                  <c:v>8882.57</c:v>
                </c:pt>
                <c:pt idx="1">
                  <c:v>8457.8099999999959</c:v>
                </c:pt>
                <c:pt idx="2">
                  <c:v>10512.479999999998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20736"/>
        <c:axId val="255238912"/>
      </c:lineChart>
      <c:catAx>
        <c:axId val="255220736"/>
        <c:scaling>
          <c:orientation val="minMax"/>
        </c:scaling>
        <c:delete val="0"/>
        <c:axPos val="b"/>
        <c:majorTickMark val="out"/>
        <c:minorTickMark val="none"/>
        <c:tickLblPos val="nextTo"/>
        <c:crossAx val="255238912"/>
        <c:crosses val="autoZero"/>
        <c:auto val="1"/>
        <c:lblAlgn val="ctr"/>
        <c:lblOffset val="100"/>
        <c:noMultiLvlLbl val="0"/>
      </c:catAx>
      <c:valAx>
        <c:axId val="25523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5220736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9</xdr:row>
      <xdr:rowOff>152400</xdr:rowOff>
    </xdr:from>
    <xdr:to>
      <xdr:col>12</xdr:col>
      <xdr:colOff>495300</xdr:colOff>
      <xdr:row>24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9</xdr:row>
      <xdr:rowOff>152400</xdr:rowOff>
    </xdr:from>
    <xdr:to>
      <xdr:col>12</xdr:col>
      <xdr:colOff>571500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8</xdr:row>
      <xdr:rowOff>53340</xdr:rowOff>
    </xdr:from>
    <xdr:to>
      <xdr:col>7</xdr:col>
      <xdr:colOff>1127760</xdr:colOff>
      <xdr:row>26</xdr:row>
      <xdr:rowOff>99060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1737360</xdr:colOff>
      <xdr:row>9</xdr:row>
      <xdr:rowOff>45720</xdr:rowOff>
    </xdr:from>
    <xdr:to>
      <xdr:col>10</xdr:col>
      <xdr:colOff>426720</xdr:colOff>
      <xdr:row>26</xdr:row>
      <xdr:rowOff>160020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33.541835879631" createdVersion="4" refreshedVersion="4" minRefreshableVersion="3" recordCount="150">
  <cacheSource type="worksheet">
    <worksheetSource ref="A1:E151" sheet="retail_sales_dataset"/>
  </cacheSource>
  <cacheFields count="6">
    <cacheField name="Date" numFmtId="14">
      <sharedItems containsSemiMixedTypes="0" containsNonDate="0" containsDate="1" containsString="0" minDate="2024-01-01T00:00:00" maxDate="2024-03-31T00:00:00" count="72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1T00:00:00"/>
        <d v="2024-01-12T00:00:00"/>
        <d v="2024-01-14T00:00:00"/>
        <d v="2024-01-15T00:00:00"/>
        <d v="2024-01-18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3T00:00:00"/>
        <d v="2024-02-14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</sharedItems>
      <fieldGroup par="5" base="0">
        <rangePr groupBy="months" startDate="2024-01-01T00:00:00" endDate="2024-03-31T00:00:00"/>
        <groupItems count="14">
          <s v="&lt;01-01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4"/>
        </groupItems>
      </fieldGroup>
    </cacheField>
    <cacheField name="Product" numFmtId="0">
      <sharedItems count="12">
        <s v="Hooded Sweatshirt"/>
        <s v="Crew Socks"/>
        <s v="Wool Beanie"/>
        <s v="Classic T-Shirt"/>
        <s v="Polo Shirt"/>
        <s v="Leather Belt"/>
        <s v="Slim Fit Jeans"/>
        <s v="Canvas Sneakers"/>
        <s v="Denim Jacket"/>
        <s v="Running Shoes"/>
        <s v="Cargo Shorts"/>
        <s v="Graphic Hoodie"/>
      </sharedItems>
    </cacheField>
    <cacheField name="Quantity" numFmtId="0">
      <sharedItems containsSemiMixedTypes="0" containsString="0" containsNumber="1" containsInteger="1" minValue="1" maxValue="9"/>
    </cacheField>
    <cacheField name="Price" numFmtId="0">
      <sharedItems containsSemiMixedTypes="0" containsString="0" containsNumber="1" minValue="9.99" maxValue="89.99"/>
    </cacheField>
    <cacheField name="Revenue" numFmtId="0">
      <sharedItems containsSemiMixedTypes="0" containsString="0" containsNumber="1" minValue="9.99" maxValue="719.92"/>
    </cacheField>
    <cacheField name="Years" numFmtId="0" databaseField="0">
      <fieldGroup base="0">
        <rangePr groupBy="years" startDate="2024-01-01T00:00:00" endDate="2024-03-31T00:00:00"/>
        <groupItems count="3">
          <s v="&lt;01-01-24"/>
          <s v="2024"/>
          <s v="&gt;31-03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n v="6"/>
    <n v="39.99"/>
    <n v="239.94"/>
  </r>
  <r>
    <x v="0"/>
    <x v="1"/>
    <n v="8"/>
    <n v="9.99"/>
    <n v="79.92"/>
  </r>
  <r>
    <x v="1"/>
    <x v="1"/>
    <n v="3"/>
    <n v="9.99"/>
    <n v="29.97"/>
  </r>
  <r>
    <x v="1"/>
    <x v="1"/>
    <n v="8"/>
    <n v="9.99"/>
    <n v="79.92"/>
  </r>
  <r>
    <x v="1"/>
    <x v="1"/>
    <n v="4"/>
    <n v="9.99"/>
    <n v="39.96"/>
  </r>
  <r>
    <x v="1"/>
    <x v="2"/>
    <n v="2"/>
    <n v="14.99"/>
    <n v="29.98"/>
  </r>
  <r>
    <x v="2"/>
    <x v="3"/>
    <n v="5"/>
    <n v="19.989999999999998"/>
    <n v="99.949999999999989"/>
  </r>
  <r>
    <x v="2"/>
    <x v="3"/>
    <n v="9"/>
    <n v="19.989999999999998"/>
    <n v="179.91"/>
  </r>
  <r>
    <x v="2"/>
    <x v="4"/>
    <n v="9"/>
    <n v="34.99"/>
    <n v="314.91000000000003"/>
  </r>
  <r>
    <x v="3"/>
    <x v="5"/>
    <n v="2"/>
    <n v="24.99"/>
    <n v="49.98"/>
  </r>
  <r>
    <x v="3"/>
    <x v="6"/>
    <n v="6"/>
    <n v="49.99"/>
    <n v="299.94"/>
  </r>
  <r>
    <x v="3"/>
    <x v="7"/>
    <n v="1"/>
    <n v="44.99"/>
    <n v="44.99"/>
  </r>
  <r>
    <x v="3"/>
    <x v="3"/>
    <n v="4"/>
    <n v="19.989999999999998"/>
    <n v="79.959999999999994"/>
  </r>
  <r>
    <x v="4"/>
    <x v="5"/>
    <n v="5"/>
    <n v="24.99"/>
    <n v="124.94999999999999"/>
  </r>
  <r>
    <x v="4"/>
    <x v="8"/>
    <n v="4"/>
    <n v="69.989999999999995"/>
    <n v="279.95999999999998"/>
  </r>
  <r>
    <x v="5"/>
    <x v="2"/>
    <n v="8"/>
    <n v="14.99"/>
    <n v="119.92"/>
  </r>
  <r>
    <x v="6"/>
    <x v="4"/>
    <n v="1"/>
    <n v="34.99"/>
    <n v="34.99"/>
  </r>
  <r>
    <x v="6"/>
    <x v="3"/>
    <n v="8"/>
    <n v="19.989999999999998"/>
    <n v="159.91999999999999"/>
  </r>
  <r>
    <x v="7"/>
    <x v="9"/>
    <n v="5"/>
    <n v="89.99"/>
    <n v="449.95"/>
  </r>
  <r>
    <x v="7"/>
    <x v="4"/>
    <n v="6"/>
    <n v="34.99"/>
    <n v="209.94"/>
  </r>
  <r>
    <x v="7"/>
    <x v="5"/>
    <n v="4"/>
    <n v="24.99"/>
    <n v="99.96"/>
  </r>
  <r>
    <x v="8"/>
    <x v="10"/>
    <n v="6"/>
    <n v="29.99"/>
    <n v="179.94"/>
  </r>
  <r>
    <x v="8"/>
    <x v="11"/>
    <n v="1"/>
    <n v="44.99"/>
    <n v="44.99"/>
  </r>
  <r>
    <x v="8"/>
    <x v="3"/>
    <n v="3"/>
    <n v="19.989999999999998"/>
    <n v="59.97"/>
  </r>
  <r>
    <x v="9"/>
    <x v="9"/>
    <n v="8"/>
    <n v="89.99"/>
    <n v="719.92"/>
  </r>
  <r>
    <x v="10"/>
    <x v="10"/>
    <n v="3"/>
    <n v="29.99"/>
    <n v="89.97"/>
  </r>
  <r>
    <x v="11"/>
    <x v="3"/>
    <n v="6"/>
    <n v="19.989999999999998"/>
    <n v="119.94"/>
  </r>
  <r>
    <x v="11"/>
    <x v="8"/>
    <n v="6"/>
    <n v="69.989999999999995"/>
    <n v="419.93999999999994"/>
  </r>
  <r>
    <x v="11"/>
    <x v="11"/>
    <n v="7"/>
    <n v="44.99"/>
    <n v="314.93"/>
  </r>
  <r>
    <x v="12"/>
    <x v="11"/>
    <n v="6"/>
    <n v="44.99"/>
    <n v="269.94"/>
  </r>
  <r>
    <x v="12"/>
    <x v="10"/>
    <n v="7"/>
    <n v="29.99"/>
    <n v="209.92999999999998"/>
  </r>
  <r>
    <x v="12"/>
    <x v="8"/>
    <n v="7"/>
    <n v="69.989999999999995"/>
    <n v="489.92999999999995"/>
  </r>
  <r>
    <x v="12"/>
    <x v="0"/>
    <n v="3"/>
    <n v="39.99"/>
    <n v="119.97"/>
  </r>
  <r>
    <x v="12"/>
    <x v="8"/>
    <n v="4"/>
    <n v="69.989999999999995"/>
    <n v="279.95999999999998"/>
  </r>
  <r>
    <x v="13"/>
    <x v="2"/>
    <n v="3"/>
    <n v="14.99"/>
    <n v="44.97"/>
  </r>
  <r>
    <x v="13"/>
    <x v="0"/>
    <n v="2"/>
    <n v="39.99"/>
    <n v="79.98"/>
  </r>
  <r>
    <x v="14"/>
    <x v="4"/>
    <n v="1"/>
    <n v="34.99"/>
    <n v="34.99"/>
  </r>
  <r>
    <x v="14"/>
    <x v="1"/>
    <n v="5"/>
    <n v="9.99"/>
    <n v="49.95"/>
  </r>
  <r>
    <x v="14"/>
    <x v="9"/>
    <n v="4"/>
    <n v="89.99"/>
    <n v="359.96"/>
  </r>
  <r>
    <x v="15"/>
    <x v="8"/>
    <n v="8"/>
    <n v="69.989999999999995"/>
    <n v="559.91999999999996"/>
  </r>
  <r>
    <x v="15"/>
    <x v="10"/>
    <n v="2"/>
    <n v="29.99"/>
    <n v="59.98"/>
  </r>
  <r>
    <x v="16"/>
    <x v="4"/>
    <n v="7"/>
    <n v="34.99"/>
    <n v="244.93"/>
  </r>
  <r>
    <x v="17"/>
    <x v="2"/>
    <n v="8"/>
    <n v="14.99"/>
    <n v="119.92"/>
  </r>
  <r>
    <x v="17"/>
    <x v="6"/>
    <n v="3"/>
    <n v="49.99"/>
    <n v="149.97"/>
  </r>
  <r>
    <x v="18"/>
    <x v="2"/>
    <n v="3"/>
    <n v="14.99"/>
    <n v="44.97"/>
  </r>
  <r>
    <x v="19"/>
    <x v="8"/>
    <n v="5"/>
    <n v="69.989999999999995"/>
    <n v="349.95"/>
  </r>
  <r>
    <x v="20"/>
    <x v="7"/>
    <n v="7"/>
    <n v="44.99"/>
    <n v="314.93"/>
  </r>
  <r>
    <x v="21"/>
    <x v="1"/>
    <n v="7"/>
    <n v="9.99"/>
    <n v="69.930000000000007"/>
  </r>
  <r>
    <x v="22"/>
    <x v="1"/>
    <n v="3"/>
    <n v="9.99"/>
    <n v="29.97"/>
  </r>
  <r>
    <x v="23"/>
    <x v="8"/>
    <n v="5"/>
    <n v="69.989999999999995"/>
    <n v="349.95"/>
  </r>
  <r>
    <x v="23"/>
    <x v="6"/>
    <n v="8"/>
    <n v="49.99"/>
    <n v="399.92"/>
  </r>
  <r>
    <x v="23"/>
    <x v="7"/>
    <n v="6"/>
    <n v="44.99"/>
    <n v="269.94"/>
  </r>
  <r>
    <x v="24"/>
    <x v="10"/>
    <n v="1"/>
    <n v="29.99"/>
    <n v="29.99"/>
  </r>
  <r>
    <x v="24"/>
    <x v="1"/>
    <n v="8"/>
    <n v="9.99"/>
    <n v="79.92"/>
  </r>
  <r>
    <x v="25"/>
    <x v="10"/>
    <n v="7"/>
    <n v="29.99"/>
    <n v="209.92999999999998"/>
  </r>
  <r>
    <x v="25"/>
    <x v="9"/>
    <n v="1"/>
    <n v="89.99"/>
    <n v="89.99"/>
  </r>
  <r>
    <x v="25"/>
    <x v="3"/>
    <n v="4"/>
    <n v="19.989999999999998"/>
    <n v="79.959999999999994"/>
  </r>
  <r>
    <x v="25"/>
    <x v="7"/>
    <n v="7"/>
    <n v="44.99"/>
    <n v="314.93"/>
  </r>
  <r>
    <x v="26"/>
    <x v="3"/>
    <n v="2"/>
    <n v="19.989999999999998"/>
    <n v="39.979999999999997"/>
  </r>
  <r>
    <x v="27"/>
    <x v="1"/>
    <n v="7"/>
    <n v="9.99"/>
    <n v="69.930000000000007"/>
  </r>
  <r>
    <x v="28"/>
    <x v="1"/>
    <n v="9"/>
    <n v="9.99"/>
    <n v="89.91"/>
  </r>
  <r>
    <x v="29"/>
    <x v="11"/>
    <n v="4"/>
    <n v="44.99"/>
    <n v="179.96"/>
  </r>
  <r>
    <x v="30"/>
    <x v="2"/>
    <n v="7"/>
    <n v="14.99"/>
    <n v="104.93"/>
  </r>
  <r>
    <x v="31"/>
    <x v="6"/>
    <n v="3"/>
    <n v="49.99"/>
    <n v="149.97"/>
  </r>
  <r>
    <x v="31"/>
    <x v="10"/>
    <n v="2"/>
    <n v="29.99"/>
    <n v="59.98"/>
  </r>
  <r>
    <x v="32"/>
    <x v="11"/>
    <n v="1"/>
    <n v="44.99"/>
    <n v="44.99"/>
  </r>
  <r>
    <x v="32"/>
    <x v="0"/>
    <n v="5"/>
    <n v="39.99"/>
    <n v="199.95000000000002"/>
  </r>
  <r>
    <x v="33"/>
    <x v="4"/>
    <n v="9"/>
    <n v="34.99"/>
    <n v="314.91000000000003"/>
  </r>
  <r>
    <x v="33"/>
    <x v="3"/>
    <n v="1"/>
    <n v="19.989999999999998"/>
    <n v="19.989999999999998"/>
  </r>
  <r>
    <x v="33"/>
    <x v="5"/>
    <n v="1"/>
    <n v="24.99"/>
    <n v="24.99"/>
  </r>
  <r>
    <x v="34"/>
    <x v="2"/>
    <n v="3"/>
    <n v="14.99"/>
    <n v="44.97"/>
  </r>
  <r>
    <x v="35"/>
    <x v="3"/>
    <n v="5"/>
    <n v="19.989999999999998"/>
    <n v="99.949999999999989"/>
  </r>
  <r>
    <x v="35"/>
    <x v="2"/>
    <n v="6"/>
    <n v="14.99"/>
    <n v="89.94"/>
  </r>
  <r>
    <x v="35"/>
    <x v="3"/>
    <n v="2"/>
    <n v="19.989999999999998"/>
    <n v="39.979999999999997"/>
  </r>
  <r>
    <x v="36"/>
    <x v="8"/>
    <n v="3"/>
    <n v="69.989999999999995"/>
    <n v="209.96999999999997"/>
  </r>
  <r>
    <x v="36"/>
    <x v="9"/>
    <n v="7"/>
    <n v="89.99"/>
    <n v="629.92999999999995"/>
  </r>
  <r>
    <x v="37"/>
    <x v="3"/>
    <n v="3"/>
    <n v="19.989999999999998"/>
    <n v="59.97"/>
  </r>
  <r>
    <x v="38"/>
    <x v="6"/>
    <n v="9"/>
    <n v="49.99"/>
    <n v="449.91"/>
  </r>
  <r>
    <x v="39"/>
    <x v="7"/>
    <n v="9"/>
    <n v="44.99"/>
    <n v="404.91"/>
  </r>
  <r>
    <x v="39"/>
    <x v="0"/>
    <n v="1"/>
    <n v="39.99"/>
    <n v="39.99"/>
  </r>
  <r>
    <x v="39"/>
    <x v="11"/>
    <n v="6"/>
    <n v="44.99"/>
    <n v="269.94"/>
  </r>
  <r>
    <x v="40"/>
    <x v="5"/>
    <n v="8"/>
    <n v="24.99"/>
    <n v="199.92"/>
  </r>
  <r>
    <x v="40"/>
    <x v="7"/>
    <n v="1"/>
    <n v="44.99"/>
    <n v="44.99"/>
  </r>
  <r>
    <x v="41"/>
    <x v="9"/>
    <n v="5"/>
    <n v="89.99"/>
    <n v="449.95"/>
  </r>
  <r>
    <x v="41"/>
    <x v="5"/>
    <n v="2"/>
    <n v="24.99"/>
    <n v="49.98"/>
  </r>
  <r>
    <x v="41"/>
    <x v="6"/>
    <n v="1"/>
    <n v="49.99"/>
    <n v="49.99"/>
  </r>
  <r>
    <x v="42"/>
    <x v="8"/>
    <n v="8"/>
    <n v="69.989999999999995"/>
    <n v="559.91999999999996"/>
  </r>
  <r>
    <x v="42"/>
    <x v="3"/>
    <n v="6"/>
    <n v="19.989999999999998"/>
    <n v="119.94"/>
  </r>
  <r>
    <x v="43"/>
    <x v="10"/>
    <n v="8"/>
    <n v="29.99"/>
    <n v="239.92"/>
  </r>
  <r>
    <x v="44"/>
    <x v="10"/>
    <n v="8"/>
    <n v="29.99"/>
    <n v="239.92"/>
  </r>
  <r>
    <x v="45"/>
    <x v="10"/>
    <n v="1"/>
    <n v="29.99"/>
    <n v="29.99"/>
  </r>
  <r>
    <x v="46"/>
    <x v="6"/>
    <n v="5"/>
    <n v="49.99"/>
    <n v="249.95000000000002"/>
  </r>
  <r>
    <x v="46"/>
    <x v="11"/>
    <n v="4"/>
    <n v="44.99"/>
    <n v="179.96"/>
  </r>
  <r>
    <x v="46"/>
    <x v="3"/>
    <n v="2"/>
    <n v="19.989999999999998"/>
    <n v="39.979999999999997"/>
  </r>
  <r>
    <x v="46"/>
    <x v="9"/>
    <n v="5"/>
    <n v="89.99"/>
    <n v="449.95"/>
  </r>
  <r>
    <x v="46"/>
    <x v="10"/>
    <n v="3"/>
    <n v="29.99"/>
    <n v="89.97"/>
  </r>
  <r>
    <x v="47"/>
    <x v="11"/>
    <n v="8"/>
    <n v="44.99"/>
    <n v="359.92"/>
  </r>
  <r>
    <x v="48"/>
    <x v="0"/>
    <n v="5"/>
    <n v="39.99"/>
    <n v="199.95000000000002"/>
  </r>
  <r>
    <x v="48"/>
    <x v="3"/>
    <n v="8"/>
    <n v="19.989999999999998"/>
    <n v="159.91999999999999"/>
  </r>
  <r>
    <x v="48"/>
    <x v="2"/>
    <n v="9"/>
    <n v="14.99"/>
    <n v="134.91"/>
  </r>
  <r>
    <x v="48"/>
    <x v="0"/>
    <n v="6"/>
    <n v="39.99"/>
    <n v="239.94"/>
  </r>
  <r>
    <x v="48"/>
    <x v="7"/>
    <n v="3"/>
    <n v="44.99"/>
    <n v="134.97"/>
  </r>
  <r>
    <x v="48"/>
    <x v="8"/>
    <n v="6"/>
    <n v="69.989999999999995"/>
    <n v="419.93999999999994"/>
  </r>
  <r>
    <x v="49"/>
    <x v="0"/>
    <n v="1"/>
    <n v="39.99"/>
    <n v="39.99"/>
  </r>
  <r>
    <x v="49"/>
    <x v="3"/>
    <n v="7"/>
    <n v="19.989999999999998"/>
    <n v="139.92999999999998"/>
  </r>
  <r>
    <x v="49"/>
    <x v="2"/>
    <n v="5"/>
    <n v="14.99"/>
    <n v="74.95"/>
  </r>
  <r>
    <x v="50"/>
    <x v="9"/>
    <n v="1"/>
    <n v="89.99"/>
    <n v="89.99"/>
  </r>
  <r>
    <x v="50"/>
    <x v="5"/>
    <n v="2"/>
    <n v="24.99"/>
    <n v="49.98"/>
  </r>
  <r>
    <x v="51"/>
    <x v="1"/>
    <n v="1"/>
    <n v="9.99"/>
    <n v="9.99"/>
  </r>
  <r>
    <x v="51"/>
    <x v="0"/>
    <n v="9"/>
    <n v="39.99"/>
    <n v="359.91"/>
  </r>
  <r>
    <x v="52"/>
    <x v="0"/>
    <n v="3"/>
    <n v="39.99"/>
    <n v="119.97"/>
  </r>
  <r>
    <x v="52"/>
    <x v="1"/>
    <n v="6"/>
    <n v="9.99"/>
    <n v="59.94"/>
  </r>
  <r>
    <x v="53"/>
    <x v="8"/>
    <n v="1"/>
    <n v="69.989999999999995"/>
    <n v="69.989999999999995"/>
  </r>
  <r>
    <x v="53"/>
    <x v="1"/>
    <n v="2"/>
    <n v="9.99"/>
    <n v="19.98"/>
  </r>
  <r>
    <x v="53"/>
    <x v="11"/>
    <n v="3"/>
    <n v="44.99"/>
    <n v="134.97"/>
  </r>
  <r>
    <x v="54"/>
    <x v="11"/>
    <n v="4"/>
    <n v="44.99"/>
    <n v="179.96"/>
  </r>
  <r>
    <x v="54"/>
    <x v="7"/>
    <n v="3"/>
    <n v="44.99"/>
    <n v="134.97"/>
  </r>
  <r>
    <x v="55"/>
    <x v="4"/>
    <n v="1"/>
    <n v="34.99"/>
    <n v="34.99"/>
  </r>
  <r>
    <x v="56"/>
    <x v="0"/>
    <n v="4"/>
    <n v="39.99"/>
    <n v="159.96"/>
  </r>
  <r>
    <x v="56"/>
    <x v="2"/>
    <n v="3"/>
    <n v="14.99"/>
    <n v="44.97"/>
  </r>
  <r>
    <x v="57"/>
    <x v="1"/>
    <n v="4"/>
    <n v="9.99"/>
    <n v="39.96"/>
  </r>
  <r>
    <x v="58"/>
    <x v="9"/>
    <n v="6"/>
    <n v="89.99"/>
    <n v="539.93999999999994"/>
  </r>
  <r>
    <x v="59"/>
    <x v="7"/>
    <n v="2"/>
    <n v="44.99"/>
    <n v="89.98"/>
  </r>
  <r>
    <x v="59"/>
    <x v="6"/>
    <n v="6"/>
    <n v="49.99"/>
    <n v="299.94"/>
  </r>
  <r>
    <x v="59"/>
    <x v="3"/>
    <n v="1"/>
    <n v="19.989999999999998"/>
    <n v="19.989999999999998"/>
  </r>
  <r>
    <x v="60"/>
    <x v="10"/>
    <n v="7"/>
    <n v="29.99"/>
    <n v="209.92999999999998"/>
  </r>
  <r>
    <x v="61"/>
    <x v="9"/>
    <n v="6"/>
    <n v="89.99"/>
    <n v="539.93999999999994"/>
  </r>
  <r>
    <x v="61"/>
    <x v="5"/>
    <n v="4"/>
    <n v="24.99"/>
    <n v="99.96"/>
  </r>
  <r>
    <x v="62"/>
    <x v="11"/>
    <n v="3"/>
    <n v="44.99"/>
    <n v="134.97"/>
  </r>
  <r>
    <x v="62"/>
    <x v="8"/>
    <n v="5"/>
    <n v="69.989999999999995"/>
    <n v="349.95"/>
  </r>
  <r>
    <x v="63"/>
    <x v="9"/>
    <n v="4"/>
    <n v="89.99"/>
    <n v="359.96"/>
  </r>
  <r>
    <x v="64"/>
    <x v="8"/>
    <n v="6"/>
    <n v="69.989999999999995"/>
    <n v="419.93999999999994"/>
  </r>
  <r>
    <x v="65"/>
    <x v="8"/>
    <n v="1"/>
    <n v="69.989999999999995"/>
    <n v="69.989999999999995"/>
  </r>
  <r>
    <x v="66"/>
    <x v="7"/>
    <n v="9"/>
    <n v="44.99"/>
    <n v="404.91"/>
  </r>
  <r>
    <x v="67"/>
    <x v="10"/>
    <n v="5"/>
    <n v="29.99"/>
    <n v="149.94999999999999"/>
  </r>
  <r>
    <x v="68"/>
    <x v="11"/>
    <n v="8"/>
    <n v="44.99"/>
    <n v="359.92"/>
  </r>
  <r>
    <x v="68"/>
    <x v="11"/>
    <n v="9"/>
    <n v="44.99"/>
    <n v="404.91"/>
  </r>
  <r>
    <x v="69"/>
    <x v="8"/>
    <n v="5"/>
    <n v="69.989999999999995"/>
    <n v="349.95"/>
  </r>
  <r>
    <x v="69"/>
    <x v="9"/>
    <n v="4"/>
    <n v="89.99"/>
    <n v="359.96"/>
  </r>
  <r>
    <x v="69"/>
    <x v="1"/>
    <n v="6"/>
    <n v="9.99"/>
    <n v="59.94"/>
  </r>
  <r>
    <x v="69"/>
    <x v="1"/>
    <n v="9"/>
    <n v="9.99"/>
    <n v="89.91"/>
  </r>
  <r>
    <x v="69"/>
    <x v="0"/>
    <n v="5"/>
    <n v="39.99"/>
    <n v="199.95000000000002"/>
  </r>
  <r>
    <x v="70"/>
    <x v="10"/>
    <n v="1"/>
    <n v="29.99"/>
    <n v="29.99"/>
  </r>
  <r>
    <x v="70"/>
    <x v="11"/>
    <n v="7"/>
    <n v="44.99"/>
    <n v="314.93"/>
  </r>
  <r>
    <x v="70"/>
    <x v="3"/>
    <n v="7"/>
    <n v="19.989999999999998"/>
    <n v="139.92999999999998"/>
  </r>
  <r>
    <x v="70"/>
    <x v="9"/>
    <n v="6"/>
    <n v="89.99"/>
    <n v="539.93999999999994"/>
  </r>
  <r>
    <x v="71"/>
    <x v="0"/>
    <n v="3"/>
    <n v="39.99"/>
    <n v="119.97"/>
  </r>
  <r>
    <x v="71"/>
    <x v="4"/>
    <n v="9"/>
    <n v="34.99"/>
    <n v="314.91000000000003"/>
  </r>
  <r>
    <x v="71"/>
    <x v="5"/>
    <n v="1"/>
    <n v="24.99"/>
    <n v="24.99"/>
  </r>
  <r>
    <x v="71"/>
    <x v="6"/>
    <n v="2"/>
    <n v="49.99"/>
    <n v="99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7" firstHeaderRow="1" firstDataRow="1" firstDataCol="1"/>
  <pivotFields count="6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 sortType="ascending">
      <items count="13">
        <item x="7"/>
        <item x="10"/>
        <item x="3"/>
        <item x="1"/>
        <item x="8"/>
        <item x="11"/>
        <item x="0"/>
        <item x="5"/>
        <item x="4"/>
        <item x="9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1"/>
  </rowFields>
  <rowItems count="4">
    <i>
      <x v="5"/>
    </i>
    <i>
      <x v="4"/>
    </i>
    <i>
      <x v="9"/>
    </i>
    <i t="grand">
      <x/>
    </i>
  </rowItems>
  <colItems count="1">
    <i/>
  </colItems>
  <dataFields count="1">
    <dataField name="Sum of Revenue" fld="4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3">
        <item x="0"/>
        <item x="1"/>
        <item x="2"/>
      </items>
    </pivotField>
  </pivotFields>
  <rowFields count="2">
    <field x="5"/>
    <field x="0"/>
  </rowFields>
  <rowItems count="5"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ven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27" sqref="B27"/>
    </sheetView>
  </sheetViews>
  <sheetFormatPr defaultRowHeight="14.4" x14ac:dyDescent="0.3"/>
  <cols>
    <col min="1" max="1" width="13.6640625" customWidth="1"/>
    <col min="2" max="2" width="14.88671875" bestFit="1" customWidth="1"/>
  </cols>
  <sheetData>
    <row r="3" spans="1:2" x14ac:dyDescent="0.3">
      <c r="A3" s="3" t="s">
        <v>20</v>
      </c>
      <c r="B3" t="s">
        <v>22</v>
      </c>
    </row>
    <row r="4" spans="1:2" x14ac:dyDescent="0.3">
      <c r="A4" s="4" t="s">
        <v>15</v>
      </c>
      <c r="B4" s="5">
        <v>3194.29</v>
      </c>
    </row>
    <row r="5" spans="1:2" x14ac:dyDescent="0.3">
      <c r="A5" s="4" t="s">
        <v>12</v>
      </c>
      <c r="B5" s="5">
        <v>5179.2599999999984</v>
      </c>
    </row>
    <row r="6" spans="1:2" x14ac:dyDescent="0.3">
      <c r="A6" s="4" t="s">
        <v>13</v>
      </c>
      <c r="B6" s="5">
        <v>5579.3799999999992</v>
      </c>
    </row>
    <row r="7" spans="1:2" x14ac:dyDescent="0.3">
      <c r="A7" s="4" t="s">
        <v>21</v>
      </c>
      <c r="B7" s="5">
        <v>13952.929999999998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C23" sqref="C23"/>
    </sheetView>
  </sheetViews>
  <sheetFormatPr defaultRowHeight="14.4" x14ac:dyDescent="0.3"/>
  <cols>
    <col min="1" max="1" width="12.5546875" bestFit="1" customWidth="1"/>
    <col min="2" max="2" width="14.88671875" customWidth="1"/>
  </cols>
  <sheetData>
    <row r="3" spans="1:2" x14ac:dyDescent="0.3">
      <c r="A3" s="3" t="s">
        <v>20</v>
      </c>
      <c r="B3" t="s">
        <v>22</v>
      </c>
    </row>
    <row r="4" spans="1:2" x14ac:dyDescent="0.3">
      <c r="A4" s="4" t="s">
        <v>23</v>
      </c>
      <c r="B4" s="5"/>
    </row>
    <row r="5" spans="1:2" x14ac:dyDescent="0.3">
      <c r="A5" s="6" t="s">
        <v>24</v>
      </c>
      <c r="B5" s="5">
        <v>8882.57</v>
      </c>
    </row>
    <row r="6" spans="1:2" x14ac:dyDescent="0.3">
      <c r="A6" s="6" t="s">
        <v>25</v>
      </c>
      <c r="B6" s="5">
        <v>8457.8099999999959</v>
      </c>
    </row>
    <row r="7" spans="1:2" x14ac:dyDescent="0.3">
      <c r="A7" s="6" t="s">
        <v>26</v>
      </c>
      <c r="B7" s="5">
        <v>10512.479999999998</v>
      </c>
    </row>
    <row r="8" spans="1:2" x14ac:dyDescent="0.3">
      <c r="A8" s="4" t="s">
        <v>21</v>
      </c>
      <c r="B8" s="5">
        <v>27852.859999999993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G20" sqref="G20"/>
    </sheetView>
  </sheetViews>
  <sheetFormatPr defaultRowHeight="14.4" x14ac:dyDescent="0.3"/>
  <cols>
    <col min="1" max="1" width="15.5546875" customWidth="1"/>
    <col min="2" max="2" width="25.21875" customWidth="1"/>
    <col min="3" max="3" width="15.33203125" customWidth="1"/>
    <col min="4" max="4" width="15" customWidth="1"/>
    <col min="5" max="5" width="19.33203125" customWidth="1"/>
    <col min="7" max="7" width="18.21875" customWidth="1"/>
    <col min="8" max="8" width="21.109375" customWidth="1"/>
    <col min="9" max="9" width="18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 s="2">
        <v>45292</v>
      </c>
      <c r="B2" s="1" t="s">
        <v>4</v>
      </c>
      <c r="C2" s="1">
        <v>6</v>
      </c>
      <c r="D2" s="1">
        <v>39.99</v>
      </c>
      <c r="E2" s="1">
        <f>C2*D2</f>
        <v>239.94</v>
      </c>
      <c r="G2" s="1">
        <f>SUM(E2:E151)</f>
        <v>27852.86</v>
      </c>
      <c r="H2" s="1">
        <f>SUM(C2:C151)</f>
        <v>714</v>
      </c>
      <c r="I2" s="1">
        <f>AVERAGE(E2:E151)</f>
        <v>185.68573333333333</v>
      </c>
    </row>
    <row r="3" spans="1:9" x14ac:dyDescent="0.3">
      <c r="A3" s="2">
        <v>45292</v>
      </c>
      <c r="B3" s="1" t="s">
        <v>5</v>
      </c>
      <c r="C3" s="1">
        <v>8</v>
      </c>
      <c r="D3" s="1">
        <v>9.99</v>
      </c>
      <c r="E3" s="1">
        <f t="shared" ref="E3:E66" si="0">C3*D3</f>
        <v>79.92</v>
      </c>
    </row>
    <row r="4" spans="1:9" x14ac:dyDescent="0.3">
      <c r="A4" s="2">
        <v>45293</v>
      </c>
      <c r="B4" s="1" t="s">
        <v>5</v>
      </c>
      <c r="C4" s="1">
        <v>3</v>
      </c>
      <c r="D4" s="1">
        <v>9.99</v>
      </c>
      <c r="E4" s="1">
        <f t="shared" si="0"/>
        <v>29.97</v>
      </c>
    </row>
    <row r="5" spans="1:9" x14ac:dyDescent="0.3">
      <c r="A5" s="2">
        <v>45293</v>
      </c>
      <c r="B5" s="1" t="s">
        <v>5</v>
      </c>
      <c r="C5" s="1">
        <v>8</v>
      </c>
      <c r="D5" s="1">
        <v>9.99</v>
      </c>
      <c r="E5" s="1">
        <f t="shared" si="0"/>
        <v>79.92</v>
      </c>
    </row>
    <row r="6" spans="1:9" x14ac:dyDescent="0.3">
      <c r="A6" s="2">
        <v>45293</v>
      </c>
      <c r="B6" s="1" t="s">
        <v>5</v>
      </c>
      <c r="C6" s="1">
        <v>4</v>
      </c>
      <c r="D6" s="1">
        <v>9.99</v>
      </c>
      <c r="E6" s="1">
        <f t="shared" si="0"/>
        <v>39.96</v>
      </c>
    </row>
    <row r="7" spans="1:9" x14ac:dyDescent="0.3">
      <c r="A7" s="2">
        <v>45293</v>
      </c>
      <c r="B7" s="1" t="s">
        <v>6</v>
      </c>
      <c r="C7" s="1">
        <v>2</v>
      </c>
      <c r="D7" s="1">
        <v>14.99</v>
      </c>
      <c r="E7" s="1">
        <f t="shared" si="0"/>
        <v>29.98</v>
      </c>
    </row>
    <row r="8" spans="1:9" x14ac:dyDescent="0.3">
      <c r="A8" s="2">
        <v>45294</v>
      </c>
      <c r="B8" s="1" t="s">
        <v>7</v>
      </c>
      <c r="C8" s="1">
        <v>5</v>
      </c>
      <c r="D8" s="1">
        <v>19.989999999999998</v>
      </c>
      <c r="E8" s="1">
        <f t="shared" si="0"/>
        <v>99.949999999999989</v>
      </c>
    </row>
    <row r="9" spans="1:9" x14ac:dyDescent="0.3">
      <c r="A9" s="2">
        <v>45294</v>
      </c>
      <c r="B9" s="1" t="s">
        <v>7</v>
      </c>
      <c r="C9" s="1">
        <v>9</v>
      </c>
      <c r="D9" s="1">
        <v>19.989999999999998</v>
      </c>
      <c r="E9" s="1">
        <f t="shared" si="0"/>
        <v>179.91</v>
      </c>
    </row>
    <row r="10" spans="1:9" x14ac:dyDescent="0.3">
      <c r="A10" s="2">
        <v>45294</v>
      </c>
      <c r="B10" s="1" t="s">
        <v>8</v>
      </c>
      <c r="C10" s="1">
        <v>9</v>
      </c>
      <c r="D10" s="1">
        <v>34.99</v>
      </c>
      <c r="E10" s="1">
        <f t="shared" si="0"/>
        <v>314.91000000000003</v>
      </c>
    </row>
    <row r="11" spans="1:9" x14ac:dyDescent="0.3">
      <c r="A11" s="2">
        <v>45295</v>
      </c>
      <c r="B11" s="1" t="s">
        <v>9</v>
      </c>
      <c r="C11" s="1">
        <v>2</v>
      </c>
      <c r="D11" s="1">
        <v>24.99</v>
      </c>
      <c r="E11" s="1">
        <f t="shared" si="0"/>
        <v>49.98</v>
      </c>
    </row>
    <row r="12" spans="1:9" x14ac:dyDescent="0.3">
      <c r="A12" s="2">
        <v>45295</v>
      </c>
      <c r="B12" s="1" t="s">
        <v>10</v>
      </c>
      <c r="C12" s="1">
        <v>6</v>
      </c>
      <c r="D12" s="1">
        <v>49.99</v>
      </c>
      <c r="E12" s="1">
        <f t="shared" si="0"/>
        <v>299.94</v>
      </c>
    </row>
    <row r="13" spans="1:9" x14ac:dyDescent="0.3">
      <c r="A13" s="2">
        <v>45295</v>
      </c>
      <c r="B13" s="1" t="s">
        <v>11</v>
      </c>
      <c r="C13" s="1">
        <v>1</v>
      </c>
      <c r="D13" s="1">
        <v>44.99</v>
      </c>
      <c r="E13" s="1">
        <f t="shared" si="0"/>
        <v>44.99</v>
      </c>
    </row>
    <row r="14" spans="1:9" x14ac:dyDescent="0.3">
      <c r="A14" s="2">
        <v>45295</v>
      </c>
      <c r="B14" s="1" t="s">
        <v>7</v>
      </c>
      <c r="C14" s="1">
        <v>4</v>
      </c>
      <c r="D14" s="1">
        <v>19.989999999999998</v>
      </c>
      <c r="E14" s="1">
        <f t="shared" si="0"/>
        <v>79.959999999999994</v>
      </c>
    </row>
    <row r="15" spans="1:9" x14ac:dyDescent="0.3">
      <c r="A15" s="2">
        <v>45296</v>
      </c>
      <c r="B15" s="1" t="s">
        <v>9</v>
      </c>
      <c r="C15" s="1">
        <v>5</v>
      </c>
      <c r="D15" s="1">
        <v>24.99</v>
      </c>
      <c r="E15" s="1">
        <f t="shared" si="0"/>
        <v>124.94999999999999</v>
      </c>
    </row>
    <row r="16" spans="1:9" x14ac:dyDescent="0.3">
      <c r="A16" s="2">
        <v>45296</v>
      </c>
      <c r="B16" s="1" t="s">
        <v>12</v>
      </c>
      <c r="C16" s="1">
        <v>4</v>
      </c>
      <c r="D16" s="1">
        <v>69.989999999999995</v>
      </c>
      <c r="E16" s="1">
        <f t="shared" si="0"/>
        <v>279.95999999999998</v>
      </c>
    </row>
    <row r="17" spans="1:5" x14ac:dyDescent="0.3">
      <c r="A17" s="2">
        <v>45297</v>
      </c>
      <c r="B17" s="1" t="s">
        <v>6</v>
      </c>
      <c r="C17" s="1">
        <v>8</v>
      </c>
      <c r="D17" s="1">
        <v>14.99</v>
      </c>
      <c r="E17" s="1">
        <f t="shared" si="0"/>
        <v>119.92</v>
      </c>
    </row>
    <row r="18" spans="1:5" x14ac:dyDescent="0.3">
      <c r="A18" s="2">
        <v>45298</v>
      </c>
      <c r="B18" s="1" t="s">
        <v>8</v>
      </c>
      <c r="C18" s="1">
        <v>1</v>
      </c>
      <c r="D18" s="1">
        <v>34.99</v>
      </c>
      <c r="E18" s="1">
        <f t="shared" si="0"/>
        <v>34.99</v>
      </c>
    </row>
    <row r="19" spans="1:5" x14ac:dyDescent="0.3">
      <c r="A19" s="2">
        <v>45298</v>
      </c>
      <c r="B19" s="1" t="s">
        <v>7</v>
      </c>
      <c r="C19" s="1">
        <v>8</v>
      </c>
      <c r="D19" s="1">
        <v>19.989999999999998</v>
      </c>
      <c r="E19" s="1">
        <f t="shared" si="0"/>
        <v>159.91999999999999</v>
      </c>
    </row>
    <row r="20" spans="1:5" x14ac:dyDescent="0.3">
      <c r="A20" s="2">
        <v>45299</v>
      </c>
      <c r="B20" s="1" t="s">
        <v>13</v>
      </c>
      <c r="C20" s="1">
        <v>5</v>
      </c>
      <c r="D20" s="1">
        <v>89.99</v>
      </c>
      <c r="E20" s="1">
        <f t="shared" si="0"/>
        <v>449.95</v>
      </c>
    </row>
    <row r="21" spans="1:5" x14ac:dyDescent="0.3">
      <c r="A21" s="2">
        <v>45299</v>
      </c>
      <c r="B21" s="1" t="s">
        <v>8</v>
      </c>
      <c r="C21" s="1">
        <v>6</v>
      </c>
      <c r="D21" s="1">
        <v>34.99</v>
      </c>
      <c r="E21" s="1">
        <f t="shared" si="0"/>
        <v>209.94</v>
      </c>
    </row>
    <row r="22" spans="1:5" x14ac:dyDescent="0.3">
      <c r="A22" s="2">
        <v>45299</v>
      </c>
      <c r="B22" s="1" t="s">
        <v>9</v>
      </c>
      <c r="C22" s="1">
        <v>4</v>
      </c>
      <c r="D22" s="1">
        <v>24.99</v>
      </c>
      <c r="E22" s="1">
        <f t="shared" si="0"/>
        <v>99.96</v>
      </c>
    </row>
    <row r="23" spans="1:5" x14ac:dyDescent="0.3">
      <c r="A23" s="2">
        <v>45300</v>
      </c>
      <c r="B23" s="1" t="s">
        <v>14</v>
      </c>
      <c r="C23" s="1">
        <v>6</v>
      </c>
      <c r="D23" s="1">
        <v>29.99</v>
      </c>
      <c r="E23" s="1">
        <f t="shared" si="0"/>
        <v>179.94</v>
      </c>
    </row>
    <row r="24" spans="1:5" x14ac:dyDescent="0.3">
      <c r="A24" s="2">
        <v>45300</v>
      </c>
      <c r="B24" s="1" t="s">
        <v>15</v>
      </c>
      <c r="C24" s="1">
        <v>1</v>
      </c>
      <c r="D24" s="1">
        <v>44.99</v>
      </c>
      <c r="E24" s="1">
        <f t="shared" si="0"/>
        <v>44.99</v>
      </c>
    </row>
    <row r="25" spans="1:5" x14ac:dyDescent="0.3">
      <c r="A25" s="2">
        <v>45300</v>
      </c>
      <c r="B25" s="1" t="s">
        <v>7</v>
      </c>
      <c r="C25" s="1">
        <v>3</v>
      </c>
      <c r="D25" s="1">
        <v>19.989999999999998</v>
      </c>
      <c r="E25" s="1">
        <f t="shared" si="0"/>
        <v>59.97</v>
      </c>
    </row>
    <row r="26" spans="1:5" x14ac:dyDescent="0.3">
      <c r="A26" s="2">
        <v>45302</v>
      </c>
      <c r="B26" s="1" t="s">
        <v>13</v>
      </c>
      <c r="C26" s="1">
        <v>8</v>
      </c>
      <c r="D26" s="1">
        <v>89.99</v>
      </c>
      <c r="E26" s="1">
        <f t="shared" si="0"/>
        <v>719.92</v>
      </c>
    </row>
    <row r="27" spans="1:5" x14ac:dyDescent="0.3">
      <c r="A27" s="2">
        <v>45303</v>
      </c>
      <c r="B27" s="1" t="s">
        <v>14</v>
      </c>
      <c r="C27" s="1">
        <v>3</v>
      </c>
      <c r="D27" s="1">
        <v>29.99</v>
      </c>
      <c r="E27" s="1">
        <f t="shared" si="0"/>
        <v>89.97</v>
      </c>
    </row>
    <row r="28" spans="1:5" x14ac:dyDescent="0.3">
      <c r="A28" s="2">
        <v>45305</v>
      </c>
      <c r="B28" s="1" t="s">
        <v>7</v>
      </c>
      <c r="C28" s="1">
        <v>6</v>
      </c>
      <c r="D28" s="1">
        <v>19.989999999999998</v>
      </c>
      <c r="E28" s="1">
        <f t="shared" si="0"/>
        <v>119.94</v>
      </c>
    </row>
    <row r="29" spans="1:5" x14ac:dyDescent="0.3">
      <c r="A29" s="2">
        <v>45305</v>
      </c>
      <c r="B29" s="1" t="s">
        <v>12</v>
      </c>
      <c r="C29" s="1">
        <v>6</v>
      </c>
      <c r="D29" s="1">
        <v>69.989999999999995</v>
      </c>
      <c r="E29" s="1">
        <f t="shared" si="0"/>
        <v>419.93999999999994</v>
      </c>
    </row>
    <row r="30" spans="1:5" x14ac:dyDescent="0.3">
      <c r="A30" s="2">
        <v>45305</v>
      </c>
      <c r="B30" s="1" t="s">
        <v>15</v>
      </c>
      <c r="C30" s="1">
        <v>7</v>
      </c>
      <c r="D30" s="1">
        <v>44.99</v>
      </c>
      <c r="E30" s="1">
        <f t="shared" si="0"/>
        <v>314.93</v>
      </c>
    </row>
    <row r="31" spans="1:5" x14ac:dyDescent="0.3">
      <c r="A31" s="2">
        <v>45306</v>
      </c>
      <c r="B31" s="1" t="s">
        <v>15</v>
      </c>
      <c r="C31" s="1">
        <v>6</v>
      </c>
      <c r="D31" s="1">
        <v>44.99</v>
      </c>
      <c r="E31" s="1">
        <f t="shared" si="0"/>
        <v>269.94</v>
      </c>
    </row>
    <row r="32" spans="1:5" x14ac:dyDescent="0.3">
      <c r="A32" s="2">
        <v>45306</v>
      </c>
      <c r="B32" s="1" t="s">
        <v>14</v>
      </c>
      <c r="C32" s="1">
        <v>7</v>
      </c>
      <c r="D32" s="1">
        <v>29.99</v>
      </c>
      <c r="E32" s="1">
        <f t="shared" si="0"/>
        <v>209.92999999999998</v>
      </c>
    </row>
    <row r="33" spans="1:5" x14ac:dyDescent="0.3">
      <c r="A33" s="2">
        <v>45306</v>
      </c>
      <c r="B33" s="1" t="s">
        <v>12</v>
      </c>
      <c r="C33" s="1">
        <v>7</v>
      </c>
      <c r="D33" s="1">
        <v>69.989999999999995</v>
      </c>
      <c r="E33" s="1">
        <f t="shared" si="0"/>
        <v>489.92999999999995</v>
      </c>
    </row>
    <row r="34" spans="1:5" x14ac:dyDescent="0.3">
      <c r="A34" s="2">
        <v>45306</v>
      </c>
      <c r="B34" s="1" t="s">
        <v>4</v>
      </c>
      <c r="C34" s="1">
        <v>3</v>
      </c>
      <c r="D34" s="1">
        <v>39.99</v>
      </c>
      <c r="E34" s="1">
        <f t="shared" si="0"/>
        <v>119.97</v>
      </c>
    </row>
    <row r="35" spans="1:5" x14ac:dyDescent="0.3">
      <c r="A35" s="2">
        <v>45306</v>
      </c>
      <c r="B35" s="1" t="s">
        <v>12</v>
      </c>
      <c r="C35" s="1">
        <v>4</v>
      </c>
      <c r="D35" s="1">
        <v>69.989999999999995</v>
      </c>
      <c r="E35" s="1">
        <f t="shared" si="0"/>
        <v>279.95999999999998</v>
      </c>
    </row>
    <row r="36" spans="1:5" x14ac:dyDescent="0.3">
      <c r="A36" s="2">
        <v>45309</v>
      </c>
      <c r="B36" s="1" t="s">
        <v>6</v>
      </c>
      <c r="C36" s="1">
        <v>3</v>
      </c>
      <c r="D36" s="1">
        <v>14.99</v>
      </c>
      <c r="E36" s="1">
        <f t="shared" si="0"/>
        <v>44.97</v>
      </c>
    </row>
    <row r="37" spans="1:5" x14ac:dyDescent="0.3">
      <c r="A37" s="2">
        <v>45309</v>
      </c>
      <c r="B37" s="1" t="s">
        <v>4</v>
      </c>
      <c r="C37" s="1">
        <v>2</v>
      </c>
      <c r="D37" s="1">
        <v>39.99</v>
      </c>
      <c r="E37" s="1">
        <f t="shared" si="0"/>
        <v>79.98</v>
      </c>
    </row>
    <row r="38" spans="1:5" x14ac:dyDescent="0.3">
      <c r="A38" s="2">
        <v>45312</v>
      </c>
      <c r="B38" s="1" t="s">
        <v>8</v>
      </c>
      <c r="C38" s="1">
        <v>1</v>
      </c>
      <c r="D38" s="1">
        <v>34.99</v>
      </c>
      <c r="E38" s="1">
        <f t="shared" si="0"/>
        <v>34.99</v>
      </c>
    </row>
    <row r="39" spans="1:5" x14ac:dyDescent="0.3">
      <c r="A39" s="2">
        <v>45312</v>
      </c>
      <c r="B39" s="1" t="s">
        <v>5</v>
      </c>
      <c r="C39" s="1">
        <v>5</v>
      </c>
      <c r="D39" s="1">
        <v>9.99</v>
      </c>
      <c r="E39" s="1">
        <f t="shared" si="0"/>
        <v>49.95</v>
      </c>
    </row>
    <row r="40" spans="1:5" x14ac:dyDescent="0.3">
      <c r="A40" s="2">
        <v>45312</v>
      </c>
      <c r="B40" s="1" t="s">
        <v>13</v>
      </c>
      <c r="C40" s="1">
        <v>4</v>
      </c>
      <c r="D40" s="1">
        <v>89.99</v>
      </c>
      <c r="E40" s="1">
        <f t="shared" si="0"/>
        <v>359.96</v>
      </c>
    </row>
    <row r="41" spans="1:5" x14ac:dyDescent="0.3">
      <c r="A41" s="2">
        <v>45313</v>
      </c>
      <c r="B41" s="1" t="s">
        <v>12</v>
      </c>
      <c r="C41" s="1">
        <v>8</v>
      </c>
      <c r="D41" s="1">
        <v>69.989999999999995</v>
      </c>
      <c r="E41" s="1">
        <f t="shared" si="0"/>
        <v>559.91999999999996</v>
      </c>
    </row>
    <row r="42" spans="1:5" x14ac:dyDescent="0.3">
      <c r="A42" s="2">
        <v>45313</v>
      </c>
      <c r="B42" s="1" t="s">
        <v>14</v>
      </c>
      <c r="C42" s="1">
        <v>2</v>
      </c>
      <c r="D42" s="1">
        <v>29.99</v>
      </c>
      <c r="E42" s="1">
        <f t="shared" si="0"/>
        <v>59.98</v>
      </c>
    </row>
    <row r="43" spans="1:5" x14ac:dyDescent="0.3">
      <c r="A43" s="2">
        <v>45314</v>
      </c>
      <c r="B43" s="1" t="s">
        <v>8</v>
      </c>
      <c r="C43" s="1">
        <v>7</v>
      </c>
      <c r="D43" s="1">
        <v>34.99</v>
      </c>
      <c r="E43" s="1">
        <f t="shared" si="0"/>
        <v>244.93</v>
      </c>
    </row>
    <row r="44" spans="1:5" x14ac:dyDescent="0.3">
      <c r="A44" s="2">
        <v>45315</v>
      </c>
      <c r="B44" s="1" t="s">
        <v>6</v>
      </c>
      <c r="C44" s="1">
        <v>8</v>
      </c>
      <c r="D44" s="1">
        <v>14.99</v>
      </c>
      <c r="E44" s="1">
        <f t="shared" si="0"/>
        <v>119.92</v>
      </c>
    </row>
    <row r="45" spans="1:5" x14ac:dyDescent="0.3">
      <c r="A45" s="2">
        <v>45315</v>
      </c>
      <c r="B45" s="1" t="s">
        <v>10</v>
      </c>
      <c r="C45" s="1">
        <v>3</v>
      </c>
      <c r="D45" s="1">
        <v>49.99</v>
      </c>
      <c r="E45" s="1">
        <f t="shared" si="0"/>
        <v>149.97</v>
      </c>
    </row>
    <row r="46" spans="1:5" x14ac:dyDescent="0.3">
      <c r="A46" s="2">
        <v>45317</v>
      </c>
      <c r="B46" s="1" t="s">
        <v>6</v>
      </c>
      <c r="C46" s="1">
        <v>3</v>
      </c>
      <c r="D46" s="1">
        <v>14.99</v>
      </c>
      <c r="E46" s="1">
        <f t="shared" si="0"/>
        <v>44.97</v>
      </c>
    </row>
    <row r="47" spans="1:5" x14ac:dyDescent="0.3">
      <c r="A47" s="2">
        <v>45318</v>
      </c>
      <c r="B47" s="1" t="s">
        <v>12</v>
      </c>
      <c r="C47" s="1">
        <v>5</v>
      </c>
      <c r="D47" s="1">
        <v>69.989999999999995</v>
      </c>
      <c r="E47" s="1">
        <f t="shared" si="0"/>
        <v>349.95</v>
      </c>
    </row>
    <row r="48" spans="1:5" x14ac:dyDescent="0.3">
      <c r="A48" s="2">
        <v>45319</v>
      </c>
      <c r="B48" s="1" t="s">
        <v>11</v>
      </c>
      <c r="C48" s="1">
        <v>7</v>
      </c>
      <c r="D48" s="1">
        <v>44.99</v>
      </c>
      <c r="E48" s="1">
        <f t="shared" si="0"/>
        <v>314.93</v>
      </c>
    </row>
    <row r="49" spans="1:5" x14ac:dyDescent="0.3">
      <c r="A49" s="2">
        <v>45320</v>
      </c>
      <c r="B49" s="1" t="s">
        <v>5</v>
      </c>
      <c r="C49" s="1">
        <v>7</v>
      </c>
      <c r="D49" s="1">
        <v>9.99</v>
      </c>
      <c r="E49" s="1">
        <f t="shared" si="0"/>
        <v>69.930000000000007</v>
      </c>
    </row>
    <row r="50" spans="1:5" x14ac:dyDescent="0.3">
      <c r="A50" s="2">
        <v>45321</v>
      </c>
      <c r="B50" s="1" t="s">
        <v>5</v>
      </c>
      <c r="C50" s="1">
        <v>3</v>
      </c>
      <c r="D50" s="1">
        <v>9.99</v>
      </c>
      <c r="E50" s="1">
        <f t="shared" si="0"/>
        <v>29.97</v>
      </c>
    </row>
    <row r="51" spans="1:5" x14ac:dyDescent="0.3">
      <c r="A51" s="2">
        <v>45324</v>
      </c>
      <c r="B51" s="1" t="s">
        <v>12</v>
      </c>
      <c r="C51" s="1">
        <v>5</v>
      </c>
      <c r="D51" s="1">
        <v>69.989999999999995</v>
      </c>
      <c r="E51" s="1">
        <f t="shared" si="0"/>
        <v>349.95</v>
      </c>
    </row>
    <row r="52" spans="1:5" x14ac:dyDescent="0.3">
      <c r="A52" s="2">
        <v>45324</v>
      </c>
      <c r="B52" s="1" t="s">
        <v>10</v>
      </c>
      <c r="C52" s="1">
        <v>8</v>
      </c>
      <c r="D52" s="1">
        <v>49.99</v>
      </c>
      <c r="E52" s="1">
        <f t="shared" si="0"/>
        <v>399.92</v>
      </c>
    </row>
    <row r="53" spans="1:5" x14ac:dyDescent="0.3">
      <c r="A53" s="2">
        <v>45324</v>
      </c>
      <c r="B53" s="1" t="s">
        <v>11</v>
      </c>
      <c r="C53" s="1">
        <v>6</v>
      </c>
      <c r="D53" s="1">
        <v>44.99</v>
      </c>
      <c r="E53" s="1">
        <f t="shared" si="0"/>
        <v>269.94</v>
      </c>
    </row>
    <row r="54" spans="1:5" x14ac:dyDescent="0.3">
      <c r="A54" s="2">
        <v>45325</v>
      </c>
      <c r="B54" s="1" t="s">
        <v>14</v>
      </c>
      <c r="C54" s="1">
        <v>1</v>
      </c>
      <c r="D54" s="1">
        <v>29.99</v>
      </c>
      <c r="E54" s="1">
        <f t="shared" si="0"/>
        <v>29.99</v>
      </c>
    </row>
    <row r="55" spans="1:5" x14ac:dyDescent="0.3">
      <c r="A55" s="2">
        <v>45325</v>
      </c>
      <c r="B55" s="1" t="s">
        <v>5</v>
      </c>
      <c r="C55" s="1">
        <v>8</v>
      </c>
      <c r="D55" s="1">
        <v>9.99</v>
      </c>
      <c r="E55" s="1">
        <f t="shared" si="0"/>
        <v>79.92</v>
      </c>
    </row>
    <row r="56" spans="1:5" x14ac:dyDescent="0.3">
      <c r="A56" s="2">
        <v>45326</v>
      </c>
      <c r="B56" s="1" t="s">
        <v>14</v>
      </c>
      <c r="C56" s="1">
        <v>7</v>
      </c>
      <c r="D56" s="1">
        <v>29.99</v>
      </c>
      <c r="E56" s="1">
        <f t="shared" si="0"/>
        <v>209.92999999999998</v>
      </c>
    </row>
    <row r="57" spans="1:5" x14ac:dyDescent="0.3">
      <c r="A57" s="2">
        <v>45326</v>
      </c>
      <c r="B57" s="1" t="s">
        <v>13</v>
      </c>
      <c r="C57" s="1">
        <v>1</v>
      </c>
      <c r="D57" s="1">
        <v>89.99</v>
      </c>
      <c r="E57" s="1">
        <f t="shared" si="0"/>
        <v>89.99</v>
      </c>
    </row>
    <row r="58" spans="1:5" x14ac:dyDescent="0.3">
      <c r="A58" s="2">
        <v>45326</v>
      </c>
      <c r="B58" s="1" t="s">
        <v>7</v>
      </c>
      <c r="C58" s="1">
        <v>4</v>
      </c>
      <c r="D58" s="1">
        <v>19.989999999999998</v>
      </c>
      <c r="E58" s="1">
        <f t="shared" si="0"/>
        <v>79.959999999999994</v>
      </c>
    </row>
    <row r="59" spans="1:5" x14ac:dyDescent="0.3">
      <c r="A59" s="2">
        <v>45326</v>
      </c>
      <c r="B59" s="1" t="s">
        <v>11</v>
      </c>
      <c r="C59" s="1">
        <v>7</v>
      </c>
      <c r="D59" s="1">
        <v>44.99</v>
      </c>
      <c r="E59" s="1">
        <f t="shared" si="0"/>
        <v>314.93</v>
      </c>
    </row>
    <row r="60" spans="1:5" x14ac:dyDescent="0.3">
      <c r="A60" s="2">
        <v>45327</v>
      </c>
      <c r="B60" s="1" t="s">
        <v>7</v>
      </c>
      <c r="C60" s="1">
        <v>2</v>
      </c>
      <c r="D60" s="1">
        <v>19.989999999999998</v>
      </c>
      <c r="E60" s="1">
        <f t="shared" si="0"/>
        <v>39.979999999999997</v>
      </c>
    </row>
    <row r="61" spans="1:5" x14ac:dyDescent="0.3">
      <c r="A61" s="2">
        <v>45328</v>
      </c>
      <c r="B61" s="1" t="s">
        <v>5</v>
      </c>
      <c r="C61" s="1">
        <v>7</v>
      </c>
      <c r="D61" s="1">
        <v>9.99</v>
      </c>
      <c r="E61" s="1">
        <f t="shared" si="0"/>
        <v>69.930000000000007</v>
      </c>
    </row>
    <row r="62" spans="1:5" x14ac:dyDescent="0.3">
      <c r="A62" s="2">
        <v>45329</v>
      </c>
      <c r="B62" s="1" t="s">
        <v>5</v>
      </c>
      <c r="C62" s="1">
        <v>9</v>
      </c>
      <c r="D62" s="1">
        <v>9.99</v>
      </c>
      <c r="E62" s="1">
        <f t="shared" si="0"/>
        <v>89.91</v>
      </c>
    </row>
    <row r="63" spans="1:5" x14ac:dyDescent="0.3">
      <c r="A63" s="2">
        <v>45330</v>
      </c>
      <c r="B63" s="1" t="s">
        <v>15</v>
      </c>
      <c r="C63" s="1">
        <v>4</v>
      </c>
      <c r="D63" s="1">
        <v>44.99</v>
      </c>
      <c r="E63" s="1">
        <f t="shared" si="0"/>
        <v>179.96</v>
      </c>
    </row>
    <row r="64" spans="1:5" x14ac:dyDescent="0.3">
      <c r="A64" s="2">
        <v>45331</v>
      </c>
      <c r="B64" s="1" t="s">
        <v>6</v>
      </c>
      <c r="C64" s="1">
        <v>7</v>
      </c>
      <c r="D64" s="1">
        <v>14.99</v>
      </c>
      <c r="E64" s="1">
        <f t="shared" si="0"/>
        <v>104.93</v>
      </c>
    </row>
    <row r="65" spans="1:5" x14ac:dyDescent="0.3">
      <c r="A65" s="2">
        <v>45332</v>
      </c>
      <c r="B65" s="1" t="s">
        <v>10</v>
      </c>
      <c r="C65" s="1">
        <v>3</v>
      </c>
      <c r="D65" s="1">
        <v>49.99</v>
      </c>
      <c r="E65" s="1">
        <f t="shared" si="0"/>
        <v>149.97</v>
      </c>
    </row>
    <row r="66" spans="1:5" x14ac:dyDescent="0.3">
      <c r="A66" s="2">
        <v>45332</v>
      </c>
      <c r="B66" s="1" t="s">
        <v>14</v>
      </c>
      <c r="C66" s="1">
        <v>2</v>
      </c>
      <c r="D66" s="1">
        <v>29.99</v>
      </c>
      <c r="E66" s="1">
        <f t="shared" si="0"/>
        <v>59.98</v>
      </c>
    </row>
    <row r="67" spans="1:5" x14ac:dyDescent="0.3">
      <c r="A67" s="2">
        <v>45333</v>
      </c>
      <c r="B67" s="1" t="s">
        <v>15</v>
      </c>
      <c r="C67" s="1">
        <v>1</v>
      </c>
      <c r="D67" s="1">
        <v>44.99</v>
      </c>
      <c r="E67" s="1">
        <f t="shared" ref="E67:E130" si="1">C67*D67</f>
        <v>44.99</v>
      </c>
    </row>
    <row r="68" spans="1:5" x14ac:dyDescent="0.3">
      <c r="A68" s="2">
        <v>45333</v>
      </c>
      <c r="B68" s="1" t="s">
        <v>4</v>
      </c>
      <c r="C68" s="1">
        <v>5</v>
      </c>
      <c r="D68" s="1">
        <v>39.99</v>
      </c>
      <c r="E68" s="1">
        <f t="shared" si="1"/>
        <v>199.95000000000002</v>
      </c>
    </row>
    <row r="69" spans="1:5" x14ac:dyDescent="0.3">
      <c r="A69" s="2">
        <v>45335</v>
      </c>
      <c r="B69" s="1" t="s">
        <v>8</v>
      </c>
      <c r="C69" s="1">
        <v>9</v>
      </c>
      <c r="D69" s="1">
        <v>34.99</v>
      </c>
      <c r="E69" s="1">
        <f t="shared" si="1"/>
        <v>314.91000000000003</v>
      </c>
    </row>
    <row r="70" spans="1:5" x14ac:dyDescent="0.3">
      <c r="A70" s="2">
        <v>45335</v>
      </c>
      <c r="B70" s="1" t="s">
        <v>7</v>
      </c>
      <c r="C70" s="1">
        <v>1</v>
      </c>
      <c r="D70" s="1">
        <v>19.989999999999998</v>
      </c>
      <c r="E70" s="1">
        <f t="shared" si="1"/>
        <v>19.989999999999998</v>
      </c>
    </row>
    <row r="71" spans="1:5" x14ac:dyDescent="0.3">
      <c r="A71" s="2">
        <v>45335</v>
      </c>
      <c r="B71" s="1" t="s">
        <v>9</v>
      </c>
      <c r="C71" s="1">
        <v>1</v>
      </c>
      <c r="D71" s="1">
        <v>24.99</v>
      </c>
      <c r="E71" s="1">
        <f t="shared" si="1"/>
        <v>24.99</v>
      </c>
    </row>
    <row r="72" spans="1:5" x14ac:dyDescent="0.3">
      <c r="A72" s="2">
        <v>45336</v>
      </c>
      <c r="B72" s="1" t="s">
        <v>6</v>
      </c>
      <c r="C72" s="1">
        <v>3</v>
      </c>
      <c r="D72" s="1">
        <v>14.99</v>
      </c>
      <c r="E72" s="1">
        <f t="shared" si="1"/>
        <v>44.97</v>
      </c>
    </row>
    <row r="73" spans="1:5" x14ac:dyDescent="0.3">
      <c r="A73" s="2">
        <v>45338</v>
      </c>
      <c r="B73" s="1" t="s">
        <v>7</v>
      </c>
      <c r="C73" s="1">
        <v>5</v>
      </c>
      <c r="D73" s="1">
        <v>19.989999999999998</v>
      </c>
      <c r="E73" s="1">
        <f t="shared" si="1"/>
        <v>99.949999999999989</v>
      </c>
    </row>
    <row r="74" spans="1:5" x14ac:dyDescent="0.3">
      <c r="A74" s="2">
        <v>45338</v>
      </c>
      <c r="B74" s="1" t="s">
        <v>6</v>
      </c>
      <c r="C74" s="1">
        <v>6</v>
      </c>
      <c r="D74" s="1">
        <v>14.99</v>
      </c>
      <c r="E74" s="1">
        <f t="shared" si="1"/>
        <v>89.94</v>
      </c>
    </row>
    <row r="75" spans="1:5" x14ac:dyDescent="0.3">
      <c r="A75" s="2">
        <v>45338</v>
      </c>
      <c r="B75" s="1" t="s">
        <v>7</v>
      </c>
      <c r="C75" s="1">
        <v>2</v>
      </c>
      <c r="D75" s="1">
        <v>19.989999999999998</v>
      </c>
      <c r="E75" s="1">
        <f t="shared" si="1"/>
        <v>39.979999999999997</v>
      </c>
    </row>
    <row r="76" spans="1:5" x14ac:dyDescent="0.3">
      <c r="A76" s="2">
        <v>45339</v>
      </c>
      <c r="B76" s="1" t="s">
        <v>12</v>
      </c>
      <c r="C76" s="1">
        <v>3</v>
      </c>
      <c r="D76" s="1">
        <v>69.989999999999995</v>
      </c>
      <c r="E76" s="1">
        <f t="shared" si="1"/>
        <v>209.96999999999997</v>
      </c>
    </row>
    <row r="77" spans="1:5" x14ac:dyDescent="0.3">
      <c r="A77" s="2">
        <v>45339</v>
      </c>
      <c r="B77" s="1" t="s">
        <v>13</v>
      </c>
      <c r="C77" s="1">
        <v>7</v>
      </c>
      <c r="D77" s="1">
        <v>89.99</v>
      </c>
      <c r="E77" s="1">
        <f t="shared" si="1"/>
        <v>629.92999999999995</v>
      </c>
    </row>
    <row r="78" spans="1:5" x14ac:dyDescent="0.3">
      <c r="A78" s="2">
        <v>45340</v>
      </c>
      <c r="B78" s="1" t="s">
        <v>7</v>
      </c>
      <c r="C78" s="1">
        <v>3</v>
      </c>
      <c r="D78" s="1">
        <v>19.989999999999998</v>
      </c>
      <c r="E78" s="1">
        <f t="shared" si="1"/>
        <v>59.97</v>
      </c>
    </row>
    <row r="79" spans="1:5" x14ac:dyDescent="0.3">
      <c r="A79" s="2">
        <v>45341</v>
      </c>
      <c r="B79" s="1" t="s">
        <v>10</v>
      </c>
      <c r="C79" s="1">
        <v>9</v>
      </c>
      <c r="D79" s="1">
        <v>49.99</v>
      </c>
      <c r="E79" s="1">
        <f t="shared" si="1"/>
        <v>449.91</v>
      </c>
    </row>
    <row r="80" spans="1:5" x14ac:dyDescent="0.3">
      <c r="A80" s="2">
        <v>45342</v>
      </c>
      <c r="B80" s="1" t="s">
        <v>11</v>
      </c>
      <c r="C80" s="1">
        <v>9</v>
      </c>
      <c r="D80" s="1">
        <v>44.99</v>
      </c>
      <c r="E80" s="1">
        <f t="shared" si="1"/>
        <v>404.91</v>
      </c>
    </row>
    <row r="81" spans="1:5" x14ac:dyDescent="0.3">
      <c r="A81" s="2">
        <v>45342</v>
      </c>
      <c r="B81" s="1" t="s">
        <v>4</v>
      </c>
      <c r="C81" s="1">
        <v>1</v>
      </c>
      <c r="D81" s="1">
        <v>39.99</v>
      </c>
      <c r="E81" s="1">
        <f t="shared" si="1"/>
        <v>39.99</v>
      </c>
    </row>
    <row r="82" spans="1:5" x14ac:dyDescent="0.3">
      <c r="A82" s="2">
        <v>45342</v>
      </c>
      <c r="B82" s="1" t="s">
        <v>15</v>
      </c>
      <c r="C82" s="1">
        <v>6</v>
      </c>
      <c r="D82" s="1">
        <v>44.99</v>
      </c>
      <c r="E82" s="1">
        <f t="shared" si="1"/>
        <v>269.94</v>
      </c>
    </row>
    <row r="83" spans="1:5" x14ac:dyDescent="0.3">
      <c r="A83" s="2">
        <v>45343</v>
      </c>
      <c r="B83" s="1" t="s">
        <v>9</v>
      </c>
      <c r="C83" s="1">
        <v>8</v>
      </c>
      <c r="D83" s="1">
        <v>24.99</v>
      </c>
      <c r="E83" s="1">
        <f t="shared" si="1"/>
        <v>199.92</v>
      </c>
    </row>
    <row r="84" spans="1:5" x14ac:dyDescent="0.3">
      <c r="A84" s="2">
        <v>45343</v>
      </c>
      <c r="B84" s="1" t="s">
        <v>11</v>
      </c>
      <c r="C84" s="1">
        <v>1</v>
      </c>
      <c r="D84" s="1">
        <v>44.99</v>
      </c>
      <c r="E84" s="1">
        <f t="shared" si="1"/>
        <v>44.99</v>
      </c>
    </row>
    <row r="85" spans="1:5" x14ac:dyDescent="0.3">
      <c r="A85" s="2">
        <v>45344</v>
      </c>
      <c r="B85" s="1" t="s">
        <v>13</v>
      </c>
      <c r="C85" s="1">
        <v>5</v>
      </c>
      <c r="D85" s="1">
        <v>89.99</v>
      </c>
      <c r="E85" s="1">
        <f t="shared" si="1"/>
        <v>449.95</v>
      </c>
    </row>
    <row r="86" spans="1:5" x14ac:dyDescent="0.3">
      <c r="A86" s="2">
        <v>45344</v>
      </c>
      <c r="B86" s="1" t="s">
        <v>9</v>
      </c>
      <c r="C86" s="1">
        <v>2</v>
      </c>
      <c r="D86" s="1">
        <v>24.99</v>
      </c>
      <c r="E86" s="1">
        <f t="shared" si="1"/>
        <v>49.98</v>
      </c>
    </row>
    <row r="87" spans="1:5" x14ac:dyDescent="0.3">
      <c r="A87" s="2">
        <v>45344</v>
      </c>
      <c r="B87" s="1" t="s">
        <v>10</v>
      </c>
      <c r="C87" s="1">
        <v>1</v>
      </c>
      <c r="D87" s="1">
        <v>49.99</v>
      </c>
      <c r="E87" s="1">
        <f t="shared" si="1"/>
        <v>49.99</v>
      </c>
    </row>
    <row r="88" spans="1:5" x14ac:dyDescent="0.3">
      <c r="A88" s="2">
        <v>45345</v>
      </c>
      <c r="B88" s="1" t="s">
        <v>12</v>
      </c>
      <c r="C88" s="1">
        <v>8</v>
      </c>
      <c r="D88" s="1">
        <v>69.989999999999995</v>
      </c>
      <c r="E88" s="1">
        <f t="shared" si="1"/>
        <v>559.91999999999996</v>
      </c>
    </row>
    <row r="89" spans="1:5" x14ac:dyDescent="0.3">
      <c r="A89" s="2">
        <v>45345</v>
      </c>
      <c r="B89" s="1" t="s">
        <v>7</v>
      </c>
      <c r="C89" s="1">
        <v>6</v>
      </c>
      <c r="D89" s="1">
        <v>19.989999999999998</v>
      </c>
      <c r="E89" s="1">
        <f t="shared" si="1"/>
        <v>119.94</v>
      </c>
    </row>
    <row r="90" spans="1:5" x14ac:dyDescent="0.3">
      <c r="A90" s="2">
        <v>45346</v>
      </c>
      <c r="B90" s="1" t="s">
        <v>14</v>
      </c>
      <c r="C90" s="1">
        <v>8</v>
      </c>
      <c r="D90" s="1">
        <v>29.99</v>
      </c>
      <c r="E90" s="1">
        <f t="shared" si="1"/>
        <v>239.92</v>
      </c>
    </row>
    <row r="91" spans="1:5" x14ac:dyDescent="0.3">
      <c r="A91" s="2">
        <v>45349</v>
      </c>
      <c r="B91" s="1" t="s">
        <v>14</v>
      </c>
      <c r="C91" s="1">
        <v>8</v>
      </c>
      <c r="D91" s="1">
        <v>29.99</v>
      </c>
      <c r="E91" s="1">
        <f t="shared" si="1"/>
        <v>239.92</v>
      </c>
    </row>
    <row r="92" spans="1:5" x14ac:dyDescent="0.3">
      <c r="A92" s="2">
        <v>45350</v>
      </c>
      <c r="B92" s="1" t="s">
        <v>14</v>
      </c>
      <c r="C92" s="1">
        <v>1</v>
      </c>
      <c r="D92" s="1">
        <v>29.99</v>
      </c>
      <c r="E92" s="1">
        <f t="shared" si="1"/>
        <v>29.99</v>
      </c>
    </row>
    <row r="93" spans="1:5" x14ac:dyDescent="0.3">
      <c r="A93" s="2">
        <v>45351</v>
      </c>
      <c r="B93" s="1" t="s">
        <v>10</v>
      </c>
      <c r="C93" s="1">
        <v>5</v>
      </c>
      <c r="D93" s="1">
        <v>49.99</v>
      </c>
      <c r="E93" s="1">
        <f t="shared" si="1"/>
        <v>249.95000000000002</v>
      </c>
    </row>
    <row r="94" spans="1:5" x14ac:dyDescent="0.3">
      <c r="A94" s="2">
        <v>45351</v>
      </c>
      <c r="B94" s="1" t="s">
        <v>15</v>
      </c>
      <c r="C94" s="1">
        <v>4</v>
      </c>
      <c r="D94" s="1">
        <v>44.99</v>
      </c>
      <c r="E94" s="1">
        <f t="shared" si="1"/>
        <v>179.96</v>
      </c>
    </row>
    <row r="95" spans="1:5" x14ac:dyDescent="0.3">
      <c r="A95" s="2">
        <v>45351</v>
      </c>
      <c r="B95" s="1" t="s">
        <v>7</v>
      </c>
      <c r="C95" s="1">
        <v>2</v>
      </c>
      <c r="D95" s="1">
        <v>19.989999999999998</v>
      </c>
      <c r="E95" s="1">
        <f t="shared" si="1"/>
        <v>39.979999999999997</v>
      </c>
    </row>
    <row r="96" spans="1:5" x14ac:dyDescent="0.3">
      <c r="A96" s="2">
        <v>45351</v>
      </c>
      <c r="B96" s="1" t="s">
        <v>13</v>
      </c>
      <c r="C96" s="1">
        <v>5</v>
      </c>
      <c r="D96" s="1">
        <v>89.99</v>
      </c>
      <c r="E96" s="1">
        <f t="shared" si="1"/>
        <v>449.95</v>
      </c>
    </row>
    <row r="97" spans="1:5" x14ac:dyDescent="0.3">
      <c r="A97" s="2">
        <v>45351</v>
      </c>
      <c r="B97" s="1" t="s">
        <v>14</v>
      </c>
      <c r="C97" s="1">
        <v>3</v>
      </c>
      <c r="D97" s="1">
        <v>29.99</v>
      </c>
      <c r="E97" s="1">
        <f t="shared" si="1"/>
        <v>89.97</v>
      </c>
    </row>
    <row r="98" spans="1:5" x14ac:dyDescent="0.3">
      <c r="A98" s="2">
        <v>45352</v>
      </c>
      <c r="B98" s="1" t="s">
        <v>15</v>
      </c>
      <c r="C98" s="1">
        <v>8</v>
      </c>
      <c r="D98" s="1">
        <v>44.99</v>
      </c>
      <c r="E98" s="1">
        <f t="shared" si="1"/>
        <v>359.92</v>
      </c>
    </row>
    <row r="99" spans="1:5" x14ac:dyDescent="0.3">
      <c r="A99" s="2">
        <v>45353</v>
      </c>
      <c r="B99" s="1" t="s">
        <v>4</v>
      </c>
      <c r="C99" s="1">
        <v>5</v>
      </c>
      <c r="D99" s="1">
        <v>39.99</v>
      </c>
      <c r="E99" s="1">
        <f t="shared" si="1"/>
        <v>199.95000000000002</v>
      </c>
    </row>
    <row r="100" spans="1:5" x14ac:dyDescent="0.3">
      <c r="A100" s="2">
        <v>45353</v>
      </c>
      <c r="B100" s="1" t="s">
        <v>7</v>
      </c>
      <c r="C100" s="1">
        <v>8</v>
      </c>
      <c r="D100" s="1">
        <v>19.989999999999998</v>
      </c>
      <c r="E100" s="1">
        <f t="shared" si="1"/>
        <v>159.91999999999999</v>
      </c>
    </row>
    <row r="101" spans="1:5" x14ac:dyDescent="0.3">
      <c r="A101" s="2">
        <v>45353</v>
      </c>
      <c r="B101" s="1" t="s">
        <v>6</v>
      </c>
      <c r="C101" s="1">
        <v>9</v>
      </c>
      <c r="D101" s="1">
        <v>14.99</v>
      </c>
      <c r="E101" s="1">
        <f t="shared" si="1"/>
        <v>134.91</v>
      </c>
    </row>
    <row r="102" spans="1:5" x14ac:dyDescent="0.3">
      <c r="A102" s="2">
        <v>45353</v>
      </c>
      <c r="B102" s="1" t="s">
        <v>4</v>
      </c>
      <c r="C102" s="1">
        <v>6</v>
      </c>
      <c r="D102" s="1">
        <v>39.99</v>
      </c>
      <c r="E102" s="1">
        <f t="shared" si="1"/>
        <v>239.94</v>
      </c>
    </row>
    <row r="103" spans="1:5" x14ac:dyDescent="0.3">
      <c r="A103" s="2">
        <v>45353</v>
      </c>
      <c r="B103" s="1" t="s">
        <v>11</v>
      </c>
      <c r="C103" s="1">
        <v>3</v>
      </c>
      <c r="D103" s="1">
        <v>44.99</v>
      </c>
      <c r="E103" s="1">
        <f t="shared" si="1"/>
        <v>134.97</v>
      </c>
    </row>
    <row r="104" spans="1:5" x14ac:dyDescent="0.3">
      <c r="A104" s="2">
        <v>45353</v>
      </c>
      <c r="B104" s="1" t="s">
        <v>12</v>
      </c>
      <c r="C104" s="1">
        <v>6</v>
      </c>
      <c r="D104" s="1">
        <v>69.989999999999995</v>
      </c>
      <c r="E104" s="1">
        <f t="shared" si="1"/>
        <v>419.93999999999994</v>
      </c>
    </row>
    <row r="105" spans="1:5" x14ac:dyDescent="0.3">
      <c r="A105" s="2">
        <v>45354</v>
      </c>
      <c r="B105" s="1" t="s">
        <v>4</v>
      </c>
      <c r="C105" s="1">
        <v>1</v>
      </c>
      <c r="D105" s="1">
        <v>39.99</v>
      </c>
      <c r="E105" s="1">
        <f t="shared" si="1"/>
        <v>39.99</v>
      </c>
    </row>
    <row r="106" spans="1:5" x14ac:dyDescent="0.3">
      <c r="A106" s="2">
        <v>45354</v>
      </c>
      <c r="B106" s="1" t="s">
        <v>7</v>
      </c>
      <c r="C106" s="1">
        <v>7</v>
      </c>
      <c r="D106" s="1">
        <v>19.989999999999998</v>
      </c>
      <c r="E106" s="1">
        <f t="shared" si="1"/>
        <v>139.92999999999998</v>
      </c>
    </row>
    <row r="107" spans="1:5" x14ac:dyDescent="0.3">
      <c r="A107" s="2">
        <v>45354</v>
      </c>
      <c r="B107" s="1" t="s">
        <v>6</v>
      </c>
      <c r="C107" s="1">
        <v>5</v>
      </c>
      <c r="D107" s="1">
        <v>14.99</v>
      </c>
      <c r="E107" s="1">
        <f t="shared" si="1"/>
        <v>74.95</v>
      </c>
    </row>
    <row r="108" spans="1:5" x14ac:dyDescent="0.3">
      <c r="A108" s="2">
        <v>45355</v>
      </c>
      <c r="B108" s="1" t="s">
        <v>13</v>
      </c>
      <c r="C108" s="1">
        <v>1</v>
      </c>
      <c r="D108" s="1">
        <v>89.99</v>
      </c>
      <c r="E108" s="1">
        <f t="shared" si="1"/>
        <v>89.99</v>
      </c>
    </row>
    <row r="109" spans="1:5" x14ac:dyDescent="0.3">
      <c r="A109" s="2">
        <v>45355</v>
      </c>
      <c r="B109" s="1" t="s">
        <v>9</v>
      </c>
      <c r="C109" s="1">
        <v>2</v>
      </c>
      <c r="D109" s="1">
        <v>24.99</v>
      </c>
      <c r="E109" s="1">
        <f t="shared" si="1"/>
        <v>49.98</v>
      </c>
    </row>
    <row r="110" spans="1:5" x14ac:dyDescent="0.3">
      <c r="A110" s="2">
        <v>45356</v>
      </c>
      <c r="B110" s="1" t="s">
        <v>5</v>
      </c>
      <c r="C110" s="1">
        <v>1</v>
      </c>
      <c r="D110" s="1">
        <v>9.99</v>
      </c>
      <c r="E110" s="1">
        <f t="shared" si="1"/>
        <v>9.99</v>
      </c>
    </row>
    <row r="111" spans="1:5" x14ac:dyDescent="0.3">
      <c r="A111" s="2">
        <v>45356</v>
      </c>
      <c r="B111" s="1" t="s">
        <v>4</v>
      </c>
      <c r="C111" s="1">
        <v>9</v>
      </c>
      <c r="D111" s="1">
        <v>39.99</v>
      </c>
      <c r="E111" s="1">
        <f t="shared" si="1"/>
        <v>359.91</v>
      </c>
    </row>
    <row r="112" spans="1:5" x14ac:dyDescent="0.3">
      <c r="A112" s="2">
        <v>45362</v>
      </c>
      <c r="B112" s="1" t="s">
        <v>4</v>
      </c>
      <c r="C112" s="1">
        <v>3</v>
      </c>
      <c r="D112" s="1">
        <v>39.99</v>
      </c>
      <c r="E112" s="1">
        <f t="shared" si="1"/>
        <v>119.97</v>
      </c>
    </row>
    <row r="113" spans="1:5" x14ac:dyDescent="0.3">
      <c r="A113" s="2">
        <v>45362</v>
      </c>
      <c r="B113" s="1" t="s">
        <v>5</v>
      </c>
      <c r="C113" s="1">
        <v>6</v>
      </c>
      <c r="D113" s="1">
        <v>9.99</v>
      </c>
      <c r="E113" s="1">
        <f t="shared" si="1"/>
        <v>59.94</v>
      </c>
    </row>
    <row r="114" spans="1:5" x14ac:dyDescent="0.3">
      <c r="A114" s="2">
        <v>45363</v>
      </c>
      <c r="B114" s="1" t="s">
        <v>12</v>
      </c>
      <c r="C114" s="1">
        <v>1</v>
      </c>
      <c r="D114" s="1">
        <v>69.989999999999995</v>
      </c>
      <c r="E114" s="1">
        <f t="shared" si="1"/>
        <v>69.989999999999995</v>
      </c>
    </row>
    <row r="115" spans="1:5" x14ac:dyDescent="0.3">
      <c r="A115" s="2">
        <v>45363</v>
      </c>
      <c r="B115" s="1" t="s">
        <v>5</v>
      </c>
      <c r="C115" s="1">
        <v>2</v>
      </c>
      <c r="D115" s="1">
        <v>9.99</v>
      </c>
      <c r="E115" s="1">
        <f t="shared" si="1"/>
        <v>19.98</v>
      </c>
    </row>
    <row r="116" spans="1:5" x14ac:dyDescent="0.3">
      <c r="A116" s="2">
        <v>45363</v>
      </c>
      <c r="B116" s="1" t="s">
        <v>15</v>
      </c>
      <c r="C116" s="1">
        <v>3</v>
      </c>
      <c r="D116" s="1">
        <v>44.99</v>
      </c>
      <c r="E116" s="1">
        <f t="shared" si="1"/>
        <v>134.97</v>
      </c>
    </row>
    <row r="117" spans="1:5" x14ac:dyDescent="0.3">
      <c r="A117" s="2">
        <v>45364</v>
      </c>
      <c r="B117" s="1" t="s">
        <v>15</v>
      </c>
      <c r="C117" s="1">
        <v>4</v>
      </c>
      <c r="D117" s="1">
        <v>44.99</v>
      </c>
      <c r="E117" s="1">
        <f t="shared" si="1"/>
        <v>179.96</v>
      </c>
    </row>
    <row r="118" spans="1:5" x14ac:dyDescent="0.3">
      <c r="A118" s="2">
        <v>45364</v>
      </c>
      <c r="B118" s="1" t="s">
        <v>11</v>
      </c>
      <c r="C118" s="1">
        <v>3</v>
      </c>
      <c r="D118" s="1">
        <v>44.99</v>
      </c>
      <c r="E118" s="1">
        <f t="shared" si="1"/>
        <v>134.97</v>
      </c>
    </row>
    <row r="119" spans="1:5" x14ac:dyDescent="0.3">
      <c r="A119" s="2">
        <v>45365</v>
      </c>
      <c r="B119" s="1" t="s">
        <v>8</v>
      </c>
      <c r="C119" s="1">
        <v>1</v>
      </c>
      <c r="D119" s="1">
        <v>34.99</v>
      </c>
      <c r="E119" s="1">
        <f t="shared" si="1"/>
        <v>34.99</v>
      </c>
    </row>
    <row r="120" spans="1:5" x14ac:dyDescent="0.3">
      <c r="A120" s="2">
        <v>45366</v>
      </c>
      <c r="B120" s="1" t="s">
        <v>4</v>
      </c>
      <c r="C120" s="1">
        <v>4</v>
      </c>
      <c r="D120" s="1">
        <v>39.99</v>
      </c>
      <c r="E120" s="1">
        <f t="shared" si="1"/>
        <v>159.96</v>
      </c>
    </row>
    <row r="121" spans="1:5" x14ac:dyDescent="0.3">
      <c r="A121" s="2">
        <v>45366</v>
      </c>
      <c r="B121" s="1" t="s">
        <v>6</v>
      </c>
      <c r="C121" s="1">
        <v>3</v>
      </c>
      <c r="D121" s="1">
        <v>14.99</v>
      </c>
      <c r="E121" s="1">
        <f t="shared" si="1"/>
        <v>44.97</v>
      </c>
    </row>
    <row r="122" spans="1:5" x14ac:dyDescent="0.3">
      <c r="A122" s="2">
        <v>45367</v>
      </c>
      <c r="B122" s="1" t="s">
        <v>5</v>
      </c>
      <c r="C122" s="1">
        <v>4</v>
      </c>
      <c r="D122" s="1">
        <v>9.99</v>
      </c>
      <c r="E122" s="1">
        <f t="shared" si="1"/>
        <v>39.96</v>
      </c>
    </row>
    <row r="123" spans="1:5" x14ac:dyDescent="0.3">
      <c r="A123" s="2">
        <v>45368</v>
      </c>
      <c r="B123" s="1" t="s">
        <v>13</v>
      </c>
      <c r="C123" s="1">
        <v>6</v>
      </c>
      <c r="D123" s="1">
        <v>89.99</v>
      </c>
      <c r="E123" s="1">
        <f t="shared" si="1"/>
        <v>539.93999999999994</v>
      </c>
    </row>
    <row r="124" spans="1:5" x14ac:dyDescent="0.3">
      <c r="A124" s="2">
        <v>45369</v>
      </c>
      <c r="B124" s="1" t="s">
        <v>11</v>
      </c>
      <c r="C124" s="1">
        <v>2</v>
      </c>
      <c r="D124" s="1">
        <v>44.99</v>
      </c>
      <c r="E124" s="1">
        <f t="shared" si="1"/>
        <v>89.98</v>
      </c>
    </row>
    <row r="125" spans="1:5" x14ac:dyDescent="0.3">
      <c r="A125" s="2">
        <v>45369</v>
      </c>
      <c r="B125" s="1" t="s">
        <v>10</v>
      </c>
      <c r="C125" s="1">
        <v>6</v>
      </c>
      <c r="D125" s="1">
        <v>49.99</v>
      </c>
      <c r="E125" s="1">
        <f t="shared" si="1"/>
        <v>299.94</v>
      </c>
    </row>
    <row r="126" spans="1:5" x14ac:dyDescent="0.3">
      <c r="A126" s="2">
        <v>45369</v>
      </c>
      <c r="B126" s="1" t="s">
        <v>7</v>
      </c>
      <c r="C126" s="1">
        <v>1</v>
      </c>
      <c r="D126" s="1">
        <v>19.989999999999998</v>
      </c>
      <c r="E126" s="1">
        <f t="shared" si="1"/>
        <v>19.989999999999998</v>
      </c>
    </row>
    <row r="127" spans="1:5" x14ac:dyDescent="0.3">
      <c r="A127" s="2">
        <v>45370</v>
      </c>
      <c r="B127" s="1" t="s">
        <v>14</v>
      </c>
      <c r="C127" s="1">
        <v>7</v>
      </c>
      <c r="D127" s="1">
        <v>29.99</v>
      </c>
      <c r="E127" s="1">
        <f t="shared" si="1"/>
        <v>209.92999999999998</v>
      </c>
    </row>
    <row r="128" spans="1:5" x14ac:dyDescent="0.3">
      <c r="A128" s="2">
        <v>45371</v>
      </c>
      <c r="B128" s="1" t="s">
        <v>13</v>
      </c>
      <c r="C128" s="1">
        <v>6</v>
      </c>
      <c r="D128" s="1">
        <v>89.99</v>
      </c>
      <c r="E128" s="1">
        <f t="shared" si="1"/>
        <v>539.93999999999994</v>
      </c>
    </row>
    <row r="129" spans="1:5" x14ac:dyDescent="0.3">
      <c r="A129" s="2">
        <v>45371</v>
      </c>
      <c r="B129" s="1" t="s">
        <v>9</v>
      </c>
      <c r="C129" s="1">
        <v>4</v>
      </c>
      <c r="D129" s="1">
        <v>24.99</v>
      </c>
      <c r="E129" s="1">
        <f t="shared" si="1"/>
        <v>99.96</v>
      </c>
    </row>
    <row r="130" spans="1:5" x14ac:dyDescent="0.3">
      <c r="A130" s="2">
        <v>45372</v>
      </c>
      <c r="B130" s="1" t="s">
        <v>15</v>
      </c>
      <c r="C130" s="1">
        <v>3</v>
      </c>
      <c r="D130" s="1">
        <v>44.99</v>
      </c>
      <c r="E130" s="1">
        <f t="shared" si="1"/>
        <v>134.97</v>
      </c>
    </row>
    <row r="131" spans="1:5" x14ac:dyDescent="0.3">
      <c r="A131" s="2">
        <v>45372</v>
      </c>
      <c r="B131" s="1" t="s">
        <v>12</v>
      </c>
      <c r="C131" s="1">
        <v>5</v>
      </c>
      <c r="D131" s="1">
        <v>69.989999999999995</v>
      </c>
      <c r="E131" s="1">
        <f t="shared" ref="E131:E151" si="2">C131*D131</f>
        <v>349.95</v>
      </c>
    </row>
    <row r="132" spans="1:5" x14ac:dyDescent="0.3">
      <c r="A132" s="2">
        <v>45373</v>
      </c>
      <c r="B132" s="1" t="s">
        <v>13</v>
      </c>
      <c r="C132" s="1">
        <v>4</v>
      </c>
      <c r="D132" s="1">
        <v>89.99</v>
      </c>
      <c r="E132" s="1">
        <f t="shared" si="2"/>
        <v>359.96</v>
      </c>
    </row>
    <row r="133" spans="1:5" x14ac:dyDescent="0.3">
      <c r="A133" s="2">
        <v>45374</v>
      </c>
      <c r="B133" s="1" t="s">
        <v>12</v>
      </c>
      <c r="C133" s="1">
        <v>6</v>
      </c>
      <c r="D133" s="1">
        <v>69.989999999999995</v>
      </c>
      <c r="E133" s="1">
        <f t="shared" si="2"/>
        <v>419.93999999999994</v>
      </c>
    </row>
    <row r="134" spans="1:5" x14ac:dyDescent="0.3">
      <c r="A134" s="2">
        <v>45375</v>
      </c>
      <c r="B134" s="1" t="s">
        <v>12</v>
      </c>
      <c r="C134" s="1">
        <v>1</v>
      </c>
      <c r="D134" s="1">
        <v>69.989999999999995</v>
      </c>
      <c r="E134" s="1">
        <f t="shared" si="2"/>
        <v>69.989999999999995</v>
      </c>
    </row>
    <row r="135" spans="1:5" x14ac:dyDescent="0.3">
      <c r="A135" s="2">
        <v>45376</v>
      </c>
      <c r="B135" s="1" t="s">
        <v>11</v>
      </c>
      <c r="C135" s="1">
        <v>9</v>
      </c>
      <c r="D135" s="1">
        <v>44.99</v>
      </c>
      <c r="E135" s="1">
        <f t="shared" si="2"/>
        <v>404.91</v>
      </c>
    </row>
    <row r="136" spans="1:5" x14ac:dyDescent="0.3">
      <c r="A136" s="2">
        <v>45377</v>
      </c>
      <c r="B136" s="1" t="s">
        <v>14</v>
      </c>
      <c r="C136" s="1">
        <v>5</v>
      </c>
      <c r="D136" s="1">
        <v>29.99</v>
      </c>
      <c r="E136" s="1">
        <f t="shared" si="2"/>
        <v>149.94999999999999</v>
      </c>
    </row>
    <row r="137" spans="1:5" x14ac:dyDescent="0.3">
      <c r="A137" s="2">
        <v>45378</v>
      </c>
      <c r="B137" s="1" t="s">
        <v>15</v>
      </c>
      <c r="C137" s="1">
        <v>8</v>
      </c>
      <c r="D137" s="1">
        <v>44.99</v>
      </c>
      <c r="E137" s="1">
        <f t="shared" si="2"/>
        <v>359.92</v>
      </c>
    </row>
    <row r="138" spans="1:5" x14ac:dyDescent="0.3">
      <c r="A138" s="2">
        <v>45378</v>
      </c>
      <c r="B138" s="1" t="s">
        <v>15</v>
      </c>
      <c r="C138" s="1">
        <v>9</v>
      </c>
      <c r="D138" s="1">
        <v>44.99</v>
      </c>
      <c r="E138" s="1">
        <f t="shared" si="2"/>
        <v>404.91</v>
      </c>
    </row>
    <row r="139" spans="1:5" x14ac:dyDescent="0.3">
      <c r="A139" s="2">
        <v>45379</v>
      </c>
      <c r="B139" s="1" t="s">
        <v>12</v>
      </c>
      <c r="C139" s="1">
        <v>5</v>
      </c>
      <c r="D139" s="1">
        <v>69.989999999999995</v>
      </c>
      <c r="E139" s="1">
        <f t="shared" si="2"/>
        <v>349.95</v>
      </c>
    </row>
    <row r="140" spans="1:5" x14ac:dyDescent="0.3">
      <c r="A140" s="2">
        <v>45379</v>
      </c>
      <c r="B140" s="1" t="s">
        <v>13</v>
      </c>
      <c r="C140" s="1">
        <v>4</v>
      </c>
      <c r="D140" s="1">
        <v>89.99</v>
      </c>
      <c r="E140" s="1">
        <f t="shared" si="2"/>
        <v>359.96</v>
      </c>
    </row>
    <row r="141" spans="1:5" x14ac:dyDescent="0.3">
      <c r="A141" s="2">
        <v>45379</v>
      </c>
      <c r="B141" s="1" t="s">
        <v>5</v>
      </c>
      <c r="C141" s="1">
        <v>6</v>
      </c>
      <c r="D141" s="1">
        <v>9.99</v>
      </c>
      <c r="E141" s="1">
        <f t="shared" si="2"/>
        <v>59.94</v>
      </c>
    </row>
    <row r="142" spans="1:5" x14ac:dyDescent="0.3">
      <c r="A142" s="2">
        <v>45379</v>
      </c>
      <c r="B142" s="1" t="s">
        <v>5</v>
      </c>
      <c r="C142" s="1">
        <v>9</v>
      </c>
      <c r="D142" s="1">
        <v>9.99</v>
      </c>
      <c r="E142" s="1">
        <f t="shared" si="2"/>
        <v>89.91</v>
      </c>
    </row>
    <row r="143" spans="1:5" x14ac:dyDescent="0.3">
      <c r="A143" s="2">
        <v>45379</v>
      </c>
      <c r="B143" s="1" t="s">
        <v>4</v>
      </c>
      <c r="C143" s="1">
        <v>5</v>
      </c>
      <c r="D143" s="1">
        <v>39.99</v>
      </c>
      <c r="E143" s="1">
        <f t="shared" si="2"/>
        <v>199.95000000000002</v>
      </c>
    </row>
    <row r="144" spans="1:5" x14ac:dyDescent="0.3">
      <c r="A144" s="2">
        <v>45380</v>
      </c>
      <c r="B144" s="1" t="s">
        <v>14</v>
      </c>
      <c r="C144" s="1">
        <v>1</v>
      </c>
      <c r="D144" s="1">
        <v>29.99</v>
      </c>
      <c r="E144" s="1">
        <f t="shared" si="2"/>
        <v>29.99</v>
      </c>
    </row>
    <row r="145" spans="1:5" x14ac:dyDescent="0.3">
      <c r="A145" s="2">
        <v>45380</v>
      </c>
      <c r="B145" s="1" t="s">
        <v>15</v>
      </c>
      <c r="C145" s="1">
        <v>7</v>
      </c>
      <c r="D145" s="1">
        <v>44.99</v>
      </c>
      <c r="E145" s="1">
        <f t="shared" si="2"/>
        <v>314.93</v>
      </c>
    </row>
    <row r="146" spans="1:5" x14ac:dyDescent="0.3">
      <c r="A146" s="2">
        <v>45380</v>
      </c>
      <c r="B146" s="1" t="s">
        <v>7</v>
      </c>
      <c r="C146" s="1">
        <v>7</v>
      </c>
      <c r="D146" s="1">
        <v>19.989999999999998</v>
      </c>
      <c r="E146" s="1">
        <f t="shared" si="2"/>
        <v>139.92999999999998</v>
      </c>
    </row>
    <row r="147" spans="1:5" x14ac:dyDescent="0.3">
      <c r="A147" s="2">
        <v>45380</v>
      </c>
      <c r="B147" s="1" t="s">
        <v>13</v>
      </c>
      <c r="C147" s="1">
        <v>6</v>
      </c>
      <c r="D147" s="1">
        <v>89.99</v>
      </c>
      <c r="E147" s="1">
        <f t="shared" si="2"/>
        <v>539.93999999999994</v>
      </c>
    </row>
    <row r="148" spans="1:5" x14ac:dyDescent="0.3">
      <c r="A148" s="2">
        <v>45381</v>
      </c>
      <c r="B148" s="1" t="s">
        <v>4</v>
      </c>
      <c r="C148" s="1">
        <v>3</v>
      </c>
      <c r="D148" s="1">
        <v>39.99</v>
      </c>
      <c r="E148" s="1">
        <f t="shared" si="2"/>
        <v>119.97</v>
      </c>
    </row>
    <row r="149" spans="1:5" x14ac:dyDescent="0.3">
      <c r="A149" s="2">
        <v>45381</v>
      </c>
      <c r="B149" s="1" t="s">
        <v>8</v>
      </c>
      <c r="C149" s="1">
        <v>9</v>
      </c>
      <c r="D149" s="1">
        <v>34.99</v>
      </c>
      <c r="E149" s="1">
        <f t="shared" si="2"/>
        <v>314.91000000000003</v>
      </c>
    </row>
    <row r="150" spans="1:5" x14ac:dyDescent="0.3">
      <c r="A150" s="2">
        <v>45381</v>
      </c>
      <c r="B150" s="1" t="s">
        <v>9</v>
      </c>
      <c r="C150" s="1">
        <v>1</v>
      </c>
      <c r="D150" s="1">
        <v>24.99</v>
      </c>
      <c r="E150" s="1">
        <f t="shared" si="2"/>
        <v>24.99</v>
      </c>
    </row>
    <row r="151" spans="1:5" x14ac:dyDescent="0.3">
      <c r="A151" s="2">
        <v>45381</v>
      </c>
      <c r="B151" s="1" t="s">
        <v>10</v>
      </c>
      <c r="C151" s="1">
        <v>2</v>
      </c>
      <c r="D151" s="1">
        <v>49.99</v>
      </c>
      <c r="E151" s="1">
        <f t="shared" si="2"/>
        <v>99.98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A2" sqref="A2"/>
    </sheetView>
  </sheetViews>
  <sheetFormatPr defaultRowHeight="14.4" x14ac:dyDescent="0.3"/>
  <cols>
    <col min="1" max="1" width="8.88671875" customWidth="1"/>
    <col min="4" max="4" width="2.21875" customWidth="1"/>
    <col min="5" max="5" width="37.44140625" customWidth="1"/>
    <col min="6" max="6" width="8.88671875" hidden="1" customWidth="1"/>
    <col min="7" max="7" width="16" customWidth="1"/>
    <col min="8" max="8" width="43" customWidth="1"/>
    <col min="9" max="9" width="17.44140625" customWidth="1"/>
    <col min="10" max="10" width="40.88671875" customWidth="1"/>
  </cols>
  <sheetData>
    <row r="1" spans="1:10" s="15" customFormat="1" ht="2.4" customHeight="1" x14ac:dyDescent="1.1000000000000001">
      <c r="A1" s="15" t="s">
        <v>27</v>
      </c>
    </row>
    <row r="2" spans="1:10" ht="61.2" x14ac:dyDescent="1.1000000000000001">
      <c r="G2" s="7" t="s">
        <v>29</v>
      </c>
    </row>
    <row r="3" spans="1:10" ht="27" customHeight="1" x14ac:dyDescent="0.3"/>
    <row r="4" spans="1:10" ht="31.2" x14ac:dyDescent="0.6">
      <c r="E4" s="14" t="s">
        <v>17</v>
      </c>
      <c r="G4" s="8"/>
      <c r="H4" s="13" t="s">
        <v>28</v>
      </c>
      <c r="J4" s="11" t="s">
        <v>19</v>
      </c>
    </row>
    <row r="5" spans="1:10" ht="31.2" x14ac:dyDescent="0.6">
      <c r="E5" s="9">
        <v>27852.86</v>
      </c>
      <c r="G5" s="8"/>
      <c r="H5" s="12">
        <v>714</v>
      </c>
      <c r="J5" s="10">
        <v>185.69</v>
      </c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retail_sales_dataset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2026-04-21T06:58:57Z</dcterms:created>
  <dcterms:modified xsi:type="dcterms:W3CDTF">2026-04-21T10:38:38Z</dcterms:modified>
</cp:coreProperties>
</file>